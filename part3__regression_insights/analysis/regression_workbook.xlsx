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rt3__regression_insights\analysis\"/>
    </mc:Choice>
  </mc:AlternateContent>
  <xr:revisionPtr revIDLastSave="0" documentId="13_ncr:1_{77D271E4-0098-4788-9C36-84FA685018E5}" xr6:coauthVersionLast="47" xr6:coauthVersionMax="47" xr10:uidLastSave="{00000000-0000-0000-0000-000000000000}"/>
  <bookViews>
    <workbookView xWindow="-110" yWindow="-110" windowWidth="19420" windowHeight="11500" firstSheet="4" activeTab="6" xr2:uid="{AB9C4839-DA23-4993-876B-7B184E0B3766}"/>
  </bookViews>
  <sheets>
    <sheet name="Original_Data" sheetId="1" r:id="rId1"/>
    <sheet name="Cleaned_Data" sheetId="2" r:id="rId2"/>
    <sheet name="Dummy_Variables" sheetId="3" r:id="rId3"/>
    <sheet name="Simple_Regression_Marketing" sheetId="7" r:id="rId4"/>
    <sheet name="Simple_Regression_Footfall" sheetId="5" r:id="rId5"/>
    <sheet name="Multiple_Regression" sheetId="26" r:id="rId6"/>
    <sheet name="Predictions_Residuals" sheetId="30" r:id="rId7"/>
    <sheet name="Residual_analysis" sheetId="31" r:id="rId8"/>
    <sheet name="Model_Comparison" sheetId="3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4" i="30" l="1"/>
  <c r="S92" i="30"/>
  <c r="S201" i="30"/>
  <c r="S17" i="30"/>
  <c r="S238" i="30"/>
  <c r="S186" i="30"/>
  <c r="S163" i="30"/>
  <c r="S231" i="30"/>
  <c r="S276" i="30"/>
  <c r="S96" i="30"/>
  <c r="S37" i="30"/>
  <c r="S100" i="30"/>
  <c r="S21" i="30"/>
  <c r="S232" i="30"/>
  <c r="S6" i="30"/>
  <c r="S237" i="30"/>
  <c r="S299" i="30"/>
  <c r="S110" i="30"/>
  <c r="S178" i="30"/>
  <c r="S68" i="30"/>
  <c r="S18" i="30"/>
  <c r="S116" i="30"/>
  <c r="S317" i="30"/>
  <c r="S182" i="30"/>
  <c r="S189" i="30"/>
  <c r="S103" i="30"/>
  <c r="S173" i="30"/>
  <c r="S60" i="30"/>
  <c r="S158" i="30"/>
  <c r="S314" i="30"/>
  <c r="S52" i="30"/>
  <c r="S222" i="30"/>
  <c r="S69" i="30"/>
  <c r="S104" i="30"/>
  <c r="S125" i="30"/>
  <c r="S76" i="30"/>
  <c r="S118" i="30"/>
  <c r="S191" i="30"/>
  <c r="S48" i="30"/>
  <c r="S25" i="30"/>
  <c r="S70" i="30"/>
  <c r="S156" i="30"/>
  <c r="S220" i="30"/>
  <c r="S11" i="30"/>
  <c r="S313" i="30"/>
  <c r="S117" i="30"/>
  <c r="S251" i="30"/>
  <c r="S176" i="30"/>
  <c r="S38" i="30"/>
  <c r="S162" i="30"/>
  <c r="S294" i="30"/>
  <c r="S29" i="30"/>
  <c r="S287" i="30"/>
  <c r="S243" i="30"/>
  <c r="S262" i="30"/>
  <c r="S172" i="30"/>
  <c r="S216" i="30"/>
  <c r="S290" i="30"/>
  <c r="S152" i="30"/>
  <c r="S170" i="30"/>
  <c r="S280" i="30"/>
  <c r="S165" i="30"/>
  <c r="S202" i="30"/>
  <c r="S303" i="30"/>
  <c r="S58" i="30"/>
  <c r="S272" i="30"/>
  <c r="S318" i="30"/>
  <c r="S187" i="30"/>
  <c r="S241" i="30"/>
  <c r="S171" i="30"/>
  <c r="S130" i="30"/>
  <c r="S221" i="30"/>
  <c r="S164" i="30"/>
  <c r="S83" i="30"/>
  <c r="S226" i="30"/>
  <c r="S253" i="30"/>
  <c r="S192" i="30"/>
  <c r="S204" i="30"/>
  <c r="S261" i="30"/>
  <c r="S215" i="30"/>
  <c r="S210" i="30"/>
  <c r="S146" i="30"/>
  <c r="S145" i="30"/>
  <c r="S24" i="30"/>
  <c r="S136" i="30"/>
  <c r="S147" i="30"/>
  <c r="S295" i="30"/>
  <c r="S255" i="30"/>
  <c r="S270" i="30"/>
  <c r="S81" i="30"/>
  <c r="S281" i="30"/>
  <c r="S57" i="30"/>
  <c r="S315" i="30"/>
  <c r="S120" i="30"/>
  <c r="S230" i="30"/>
  <c r="S250" i="30"/>
  <c r="S85" i="30"/>
  <c r="S185" i="30"/>
  <c r="S194" i="30"/>
  <c r="S177" i="30"/>
  <c r="S228" i="30"/>
  <c r="S286" i="30"/>
  <c r="S157" i="30"/>
  <c r="S278" i="30"/>
  <c r="S148" i="30"/>
  <c r="S102" i="30"/>
  <c r="S247" i="30"/>
  <c r="S214" i="30"/>
  <c r="S167" i="30"/>
  <c r="S91" i="30"/>
  <c r="S27" i="30"/>
  <c r="S180" i="30"/>
  <c r="S26" i="30"/>
  <c r="S50" i="30"/>
  <c r="S306" i="30"/>
  <c r="S155" i="30"/>
  <c r="S139" i="30"/>
  <c r="S51" i="30"/>
  <c r="S320" i="30"/>
  <c r="S133" i="30"/>
  <c r="S297" i="30"/>
  <c r="S35" i="30"/>
  <c r="S41" i="30"/>
  <c r="S277" i="30"/>
  <c r="S43" i="30"/>
  <c r="S119" i="30"/>
  <c r="S137" i="30"/>
  <c r="S42" i="30"/>
  <c r="S40" i="30"/>
  <c r="S109" i="30"/>
  <c r="S209" i="30"/>
  <c r="S273" i="30"/>
  <c r="S175" i="30"/>
  <c r="S292" i="30"/>
  <c r="S208" i="30"/>
  <c r="S123" i="30"/>
  <c r="S141" i="30"/>
  <c r="S87" i="30"/>
  <c r="S149" i="30"/>
  <c r="S121" i="30"/>
  <c r="S309" i="30"/>
  <c r="S265" i="30"/>
  <c r="S304" i="30"/>
  <c r="S234" i="30"/>
  <c r="S142" i="30"/>
  <c r="S128" i="30"/>
  <c r="S88" i="30"/>
  <c r="S217" i="30"/>
  <c r="S132" i="30"/>
  <c r="S245" i="30"/>
  <c r="S15" i="30"/>
  <c r="S46" i="30"/>
  <c r="S199" i="30"/>
  <c r="S174" i="30"/>
  <c r="S97" i="30"/>
  <c r="S258" i="30"/>
  <c r="S86" i="30"/>
  <c r="S111" i="30"/>
  <c r="S298" i="30"/>
  <c r="S34" i="30"/>
  <c r="S301" i="30"/>
  <c r="S310" i="30"/>
  <c r="S126" i="30"/>
  <c r="S144" i="30"/>
  <c r="S168" i="30"/>
  <c r="S73" i="30"/>
  <c r="S200" i="30"/>
  <c r="S127" i="30"/>
  <c r="S218" i="30"/>
  <c r="S239" i="30"/>
  <c r="S198" i="30"/>
  <c r="S59" i="30"/>
  <c r="S153" i="30"/>
  <c r="S122" i="30"/>
  <c r="S54" i="30"/>
  <c r="S53" i="30"/>
  <c r="S183" i="30"/>
  <c r="S257" i="30"/>
  <c r="S223" i="30"/>
  <c r="S268" i="30"/>
  <c r="S193" i="30"/>
  <c r="S260" i="30"/>
  <c r="S224" i="30"/>
  <c r="S36" i="30"/>
  <c r="S93" i="30"/>
  <c r="S101" i="30"/>
  <c r="S115" i="30"/>
  <c r="S39" i="30"/>
  <c r="S131" i="30"/>
  <c r="S23" i="30"/>
  <c r="S169" i="30"/>
  <c r="S184" i="30"/>
  <c r="S112" i="30"/>
  <c r="S252" i="30"/>
  <c r="S82" i="30"/>
  <c r="S296" i="30"/>
  <c r="S13" i="30"/>
  <c r="S56" i="30"/>
  <c r="S256" i="30"/>
  <c r="S30" i="30"/>
  <c r="S95" i="30"/>
  <c r="S12" i="30"/>
  <c r="S311" i="30"/>
  <c r="S89" i="30"/>
  <c r="S67" i="30"/>
  <c r="S47" i="30"/>
  <c r="S275" i="30"/>
  <c r="S274" i="30"/>
  <c r="S321" i="30"/>
  <c r="S159" i="30"/>
  <c r="S240" i="30"/>
  <c r="S248" i="30"/>
  <c r="S188" i="30"/>
  <c r="S316" i="30"/>
  <c r="S166" i="30"/>
  <c r="S254" i="30"/>
  <c r="S319" i="30"/>
  <c r="S259" i="30"/>
  <c r="S64" i="30"/>
  <c r="S283" i="30"/>
  <c r="S246" i="30"/>
  <c r="S129" i="30"/>
  <c r="S308" i="30"/>
  <c r="S113" i="30"/>
  <c r="S80" i="30"/>
  <c r="S284" i="30"/>
  <c r="S271" i="30"/>
  <c r="S75" i="30"/>
  <c r="S244" i="30"/>
  <c r="S206" i="30"/>
  <c r="S4" i="30"/>
  <c r="S225" i="30"/>
  <c r="S98" i="30"/>
  <c r="S140" i="30"/>
  <c r="S179" i="30"/>
  <c r="S197" i="30"/>
  <c r="S236" i="30"/>
  <c r="S312" i="30"/>
  <c r="S291" i="30"/>
  <c r="S79" i="30"/>
  <c r="S77" i="30"/>
  <c r="S282" i="30"/>
  <c r="S279" i="30"/>
  <c r="S94" i="30"/>
  <c r="S45" i="30"/>
  <c r="S289" i="30"/>
  <c r="S14" i="30"/>
  <c r="S190" i="30"/>
  <c r="S288" i="30"/>
  <c r="S249" i="30"/>
  <c r="S106" i="30"/>
  <c r="S302" i="30"/>
  <c r="S207" i="30"/>
  <c r="S2" i="30"/>
  <c r="S107" i="30"/>
  <c r="S55" i="30"/>
  <c r="S267" i="30"/>
  <c r="S134" i="30"/>
  <c r="S266" i="30"/>
  <c r="S285" i="30"/>
  <c r="S65" i="30"/>
  <c r="S84" i="30"/>
  <c r="S154" i="30"/>
  <c r="S195" i="30"/>
  <c r="S33" i="30"/>
  <c r="S264" i="30"/>
  <c r="S233" i="30"/>
  <c r="S10" i="30"/>
  <c r="S263" i="30"/>
  <c r="S242" i="30"/>
  <c r="S203" i="30"/>
  <c r="S62" i="30"/>
  <c r="S160" i="30"/>
  <c r="S213" i="30"/>
  <c r="S32" i="30"/>
  <c r="S3" i="30"/>
  <c r="S219" i="30"/>
  <c r="S293" i="30"/>
  <c r="S229" i="30"/>
  <c r="S211" i="30"/>
  <c r="S181" i="30"/>
  <c r="S150" i="30"/>
  <c r="S74" i="30"/>
  <c r="S269" i="30"/>
  <c r="S63" i="30"/>
  <c r="S143" i="30"/>
  <c r="S108" i="30"/>
  <c r="S5" i="30"/>
  <c r="S22" i="30"/>
  <c r="S72" i="30"/>
  <c r="S196" i="30"/>
  <c r="S16" i="30"/>
  <c r="S212" i="30"/>
  <c r="S138" i="30"/>
  <c r="S8" i="30"/>
  <c r="S105" i="30"/>
  <c r="S124" i="30"/>
  <c r="S151" i="30"/>
  <c r="S99" i="30"/>
  <c r="S7" i="30"/>
  <c r="S66" i="30"/>
  <c r="S61" i="30"/>
  <c r="S71" i="30"/>
  <c r="S90" i="30"/>
  <c r="S227" i="30"/>
  <c r="S114" i="30"/>
  <c r="S31" i="30"/>
  <c r="S235" i="30"/>
  <c r="S300" i="30"/>
  <c r="S78" i="30"/>
  <c r="S161" i="30"/>
  <c r="S305" i="30"/>
  <c r="S307" i="30"/>
  <c r="S205" i="30"/>
  <c r="S135" i="30"/>
  <c r="S28" i="30"/>
  <c r="S9" i="30"/>
  <c r="S20" i="30"/>
  <c r="S19" i="30"/>
  <c r="S49" i="30"/>
  <c r="R44" i="30"/>
  <c r="R92" i="30"/>
  <c r="R201" i="30"/>
  <c r="R17" i="30"/>
  <c r="R238" i="30"/>
  <c r="R186" i="30"/>
  <c r="R163" i="30"/>
  <c r="R231" i="30"/>
  <c r="R276" i="30"/>
  <c r="R96" i="30"/>
  <c r="R37" i="30"/>
  <c r="R100" i="30"/>
  <c r="R21" i="30"/>
  <c r="R232" i="30"/>
  <c r="R6" i="30"/>
  <c r="R237" i="30"/>
  <c r="R299" i="30"/>
  <c r="R110" i="30"/>
  <c r="R178" i="30"/>
  <c r="R68" i="30"/>
  <c r="R18" i="30"/>
  <c r="R116" i="30"/>
  <c r="R317" i="30"/>
  <c r="R182" i="30"/>
  <c r="R189" i="30"/>
  <c r="R103" i="30"/>
  <c r="R173" i="30"/>
  <c r="R60" i="30"/>
  <c r="R158" i="30"/>
  <c r="R314" i="30"/>
  <c r="R52" i="30"/>
  <c r="R222" i="30"/>
  <c r="R69" i="30"/>
  <c r="R104" i="30"/>
  <c r="R125" i="30"/>
  <c r="R76" i="30"/>
  <c r="R118" i="30"/>
  <c r="R191" i="30"/>
  <c r="R48" i="30"/>
  <c r="R25" i="30"/>
  <c r="R70" i="30"/>
  <c r="R156" i="30"/>
  <c r="R220" i="30"/>
  <c r="R11" i="30"/>
  <c r="R313" i="30"/>
  <c r="R117" i="30"/>
  <c r="R251" i="30"/>
  <c r="R176" i="30"/>
  <c r="R38" i="30"/>
  <c r="R162" i="30"/>
  <c r="R294" i="30"/>
  <c r="R29" i="30"/>
  <c r="R287" i="30"/>
  <c r="R243" i="30"/>
  <c r="R262" i="30"/>
  <c r="R172" i="30"/>
  <c r="R216" i="30"/>
  <c r="R290" i="30"/>
  <c r="R152" i="30"/>
  <c r="R170" i="30"/>
  <c r="R280" i="30"/>
  <c r="R165" i="30"/>
  <c r="R202" i="30"/>
  <c r="R303" i="30"/>
  <c r="R58" i="30"/>
  <c r="R272" i="30"/>
  <c r="R318" i="30"/>
  <c r="R187" i="30"/>
  <c r="R241" i="30"/>
  <c r="R171" i="30"/>
  <c r="R130" i="30"/>
  <c r="R221" i="30"/>
  <c r="R164" i="30"/>
  <c r="R83" i="30"/>
  <c r="R226" i="30"/>
  <c r="R253" i="30"/>
  <c r="R192" i="30"/>
  <c r="R204" i="30"/>
  <c r="R261" i="30"/>
  <c r="R215" i="30"/>
  <c r="R210" i="30"/>
  <c r="R146" i="30"/>
  <c r="R145" i="30"/>
  <c r="R24" i="30"/>
  <c r="R136" i="30"/>
  <c r="R147" i="30"/>
  <c r="R295" i="30"/>
  <c r="R255" i="30"/>
  <c r="R270" i="30"/>
  <c r="R81" i="30"/>
  <c r="R281" i="30"/>
  <c r="R57" i="30"/>
  <c r="R315" i="30"/>
  <c r="R120" i="30"/>
  <c r="R230" i="30"/>
  <c r="R250" i="30"/>
  <c r="R85" i="30"/>
  <c r="R185" i="30"/>
  <c r="R194" i="30"/>
  <c r="R177" i="30"/>
  <c r="R228" i="30"/>
  <c r="R286" i="30"/>
  <c r="R157" i="30"/>
  <c r="R278" i="30"/>
  <c r="R148" i="30"/>
  <c r="R102" i="30"/>
  <c r="R247" i="30"/>
  <c r="R214" i="30"/>
  <c r="R167" i="30"/>
  <c r="R91" i="30"/>
  <c r="R27" i="30"/>
  <c r="R180" i="30"/>
  <c r="R26" i="30"/>
  <c r="R50" i="30"/>
  <c r="R306" i="30"/>
  <c r="R155" i="30"/>
  <c r="R139" i="30"/>
  <c r="R51" i="30"/>
  <c r="R320" i="30"/>
  <c r="R133" i="30"/>
  <c r="R297" i="30"/>
  <c r="R35" i="30"/>
  <c r="R41" i="30"/>
  <c r="R277" i="30"/>
  <c r="R43" i="30"/>
  <c r="R119" i="30"/>
  <c r="R137" i="30"/>
  <c r="R42" i="30"/>
  <c r="R40" i="30"/>
  <c r="R109" i="30"/>
  <c r="R209" i="30"/>
  <c r="R273" i="30"/>
  <c r="R175" i="30"/>
  <c r="R292" i="30"/>
  <c r="R208" i="30"/>
  <c r="R123" i="30"/>
  <c r="R141" i="30"/>
  <c r="R87" i="30"/>
  <c r="R149" i="30"/>
  <c r="R121" i="30"/>
  <c r="R309" i="30"/>
  <c r="R265" i="30"/>
  <c r="R304" i="30"/>
  <c r="R234" i="30"/>
  <c r="R142" i="30"/>
  <c r="R128" i="30"/>
  <c r="R88" i="30"/>
  <c r="R217" i="30"/>
  <c r="R132" i="30"/>
  <c r="R245" i="30"/>
  <c r="R15" i="30"/>
  <c r="R46" i="30"/>
  <c r="R199" i="30"/>
  <c r="R174" i="30"/>
  <c r="R97" i="30"/>
  <c r="R258" i="30"/>
  <c r="R86" i="30"/>
  <c r="R111" i="30"/>
  <c r="R298" i="30"/>
  <c r="R34" i="30"/>
  <c r="R301" i="30"/>
  <c r="R310" i="30"/>
  <c r="R126" i="30"/>
  <c r="R144" i="30"/>
  <c r="R168" i="30"/>
  <c r="R73" i="30"/>
  <c r="R200" i="30"/>
  <c r="R127" i="30"/>
  <c r="R218" i="30"/>
  <c r="R239" i="30"/>
  <c r="R198" i="30"/>
  <c r="R59" i="30"/>
  <c r="R153" i="30"/>
  <c r="R122" i="30"/>
  <c r="R54" i="30"/>
  <c r="R53" i="30"/>
  <c r="R183" i="30"/>
  <c r="R257" i="30"/>
  <c r="R223" i="30"/>
  <c r="R268" i="30"/>
  <c r="R193" i="30"/>
  <c r="R260" i="30"/>
  <c r="R224" i="30"/>
  <c r="R36" i="30"/>
  <c r="R93" i="30"/>
  <c r="R101" i="30"/>
  <c r="R115" i="30"/>
  <c r="R39" i="30"/>
  <c r="R131" i="30"/>
  <c r="R23" i="30"/>
  <c r="R169" i="30"/>
  <c r="R184" i="30"/>
  <c r="R112" i="30"/>
  <c r="R252" i="30"/>
  <c r="R82" i="30"/>
  <c r="R296" i="30"/>
  <c r="R13" i="30"/>
  <c r="R56" i="30"/>
  <c r="R256" i="30"/>
  <c r="R30" i="30"/>
  <c r="R95" i="30"/>
  <c r="R12" i="30"/>
  <c r="R311" i="30"/>
  <c r="R89" i="30"/>
  <c r="R67" i="30"/>
  <c r="R47" i="30"/>
  <c r="R275" i="30"/>
  <c r="R274" i="30"/>
  <c r="R321" i="30"/>
  <c r="R159" i="30"/>
  <c r="R240" i="30"/>
  <c r="R248" i="30"/>
  <c r="R188" i="30"/>
  <c r="R316" i="30"/>
  <c r="R166" i="30"/>
  <c r="R254" i="30"/>
  <c r="R319" i="30"/>
  <c r="R259" i="30"/>
  <c r="R64" i="30"/>
  <c r="R283" i="30"/>
  <c r="R246" i="30"/>
  <c r="R129" i="30"/>
  <c r="R308" i="30"/>
  <c r="R113" i="30"/>
  <c r="R80" i="30"/>
  <c r="R284" i="30"/>
  <c r="R271" i="30"/>
  <c r="R75" i="30"/>
  <c r="R244" i="30"/>
  <c r="R206" i="30"/>
  <c r="R4" i="30"/>
  <c r="R225" i="30"/>
  <c r="R98" i="30"/>
  <c r="R140" i="30"/>
  <c r="R179" i="30"/>
  <c r="R197" i="30"/>
  <c r="R236" i="30"/>
  <c r="R312" i="30"/>
  <c r="R291" i="30"/>
  <c r="R79" i="30"/>
  <c r="R77" i="30"/>
  <c r="R282" i="30"/>
  <c r="R279" i="30"/>
  <c r="R94" i="30"/>
  <c r="R45" i="30"/>
  <c r="R289" i="30"/>
  <c r="R14" i="30"/>
  <c r="R190" i="30"/>
  <c r="R288" i="30"/>
  <c r="R249" i="30"/>
  <c r="R106" i="30"/>
  <c r="R302" i="30"/>
  <c r="R207" i="30"/>
  <c r="R2" i="30"/>
  <c r="R107" i="30"/>
  <c r="R55" i="30"/>
  <c r="R267" i="30"/>
  <c r="R134" i="30"/>
  <c r="R266" i="30"/>
  <c r="R285" i="30"/>
  <c r="R65" i="30"/>
  <c r="R84" i="30"/>
  <c r="R154" i="30"/>
  <c r="R195" i="30"/>
  <c r="R33" i="30"/>
  <c r="R264" i="30"/>
  <c r="R233" i="30"/>
  <c r="R10" i="30"/>
  <c r="R263" i="30"/>
  <c r="R242" i="30"/>
  <c r="R203" i="30"/>
  <c r="R62" i="30"/>
  <c r="R160" i="30"/>
  <c r="R213" i="30"/>
  <c r="R32" i="30"/>
  <c r="R3" i="30"/>
  <c r="R219" i="30"/>
  <c r="R293" i="30"/>
  <c r="R229" i="30"/>
  <c r="R211" i="30"/>
  <c r="R181" i="30"/>
  <c r="R150" i="30"/>
  <c r="R74" i="30"/>
  <c r="R269" i="30"/>
  <c r="R63" i="30"/>
  <c r="R143" i="30"/>
  <c r="R108" i="30"/>
  <c r="R5" i="30"/>
  <c r="R22" i="30"/>
  <c r="R72" i="30"/>
  <c r="R196" i="30"/>
  <c r="R16" i="30"/>
  <c r="R212" i="30"/>
  <c r="R138" i="30"/>
  <c r="R8" i="30"/>
  <c r="R105" i="30"/>
  <c r="R124" i="30"/>
  <c r="R151" i="30"/>
  <c r="R99" i="30"/>
  <c r="R7" i="30"/>
  <c r="R66" i="30"/>
  <c r="R61" i="30"/>
  <c r="R71" i="30"/>
  <c r="R90" i="30"/>
  <c r="R227" i="30"/>
  <c r="R114" i="30"/>
  <c r="R31" i="30"/>
  <c r="R235" i="30"/>
  <c r="R300" i="30"/>
  <c r="R78" i="30"/>
  <c r="R161" i="30"/>
  <c r="R305" i="30"/>
  <c r="R307" i="30"/>
  <c r="R205" i="30"/>
  <c r="R135" i="30"/>
  <c r="R28" i="30"/>
  <c r="R9" i="30"/>
  <c r="R20" i="30"/>
  <c r="R19" i="30"/>
  <c r="R49" i="30"/>
  <c r="Q44" i="30"/>
  <c r="Q92" i="30"/>
  <c r="Q201" i="30"/>
  <c r="Q17" i="30"/>
  <c r="Q238" i="30"/>
  <c r="Q186" i="30"/>
  <c r="Q163" i="30"/>
  <c r="Q231" i="30"/>
  <c r="Q276" i="30"/>
  <c r="Q96" i="30"/>
  <c r="Q37" i="30"/>
  <c r="Q100" i="30"/>
  <c r="Q21" i="30"/>
  <c r="Q232" i="30"/>
  <c r="Q6" i="30"/>
  <c r="T6" i="30" s="1"/>
  <c r="U6" i="30" s="1"/>
  <c r="Q237" i="30"/>
  <c r="Q299" i="30"/>
  <c r="Q110" i="30"/>
  <c r="Q178" i="30"/>
  <c r="Q68" i="30"/>
  <c r="Q18" i="30"/>
  <c r="Q116" i="30"/>
  <c r="Q317" i="30"/>
  <c r="Q182" i="30"/>
  <c r="Q189" i="30"/>
  <c r="Q103" i="30"/>
  <c r="Q173" i="30"/>
  <c r="Q60" i="30"/>
  <c r="Q158" i="30"/>
  <c r="T158" i="30" s="1"/>
  <c r="U158" i="30" s="1"/>
  <c r="Q314" i="30"/>
  <c r="T314" i="30" s="1"/>
  <c r="U314" i="30" s="1"/>
  <c r="Q52" i="30"/>
  <c r="T52" i="30" s="1"/>
  <c r="U52" i="30" s="1"/>
  <c r="Q222" i="30"/>
  <c r="Q69" i="30"/>
  <c r="Q104" i="30"/>
  <c r="Q125" i="30"/>
  <c r="Q76" i="30"/>
  <c r="Q118" i="30"/>
  <c r="Q191" i="30"/>
  <c r="Q48" i="30"/>
  <c r="Q25" i="30"/>
  <c r="Q70" i="30"/>
  <c r="T70" i="30" s="1"/>
  <c r="U70" i="30" s="1"/>
  <c r="Q156" i="30"/>
  <c r="T156" i="30" s="1"/>
  <c r="U156" i="30" s="1"/>
  <c r="Q220" i="30"/>
  <c r="Q11" i="30"/>
  <c r="Q313" i="30"/>
  <c r="Q117" i="30"/>
  <c r="Q251" i="30"/>
  <c r="Q176" i="30"/>
  <c r="Q38" i="30"/>
  <c r="Q162" i="30"/>
  <c r="Q294" i="30"/>
  <c r="Q29" i="30"/>
  <c r="Q287" i="30"/>
  <c r="Q243" i="30"/>
  <c r="Q262" i="30"/>
  <c r="Q172" i="30"/>
  <c r="Q216" i="30"/>
  <c r="Q290" i="30"/>
  <c r="Q152" i="30"/>
  <c r="Q170" i="30"/>
  <c r="T170" i="30" s="1"/>
  <c r="U170" i="30" s="1"/>
  <c r="Q280" i="30"/>
  <c r="T280" i="30" s="1"/>
  <c r="U280" i="30" s="1"/>
  <c r="Q165" i="30"/>
  <c r="T165" i="30" s="1"/>
  <c r="U165" i="30" s="1"/>
  <c r="Q202" i="30"/>
  <c r="T202" i="30" s="1"/>
  <c r="U202" i="30" s="1"/>
  <c r="Q303" i="30"/>
  <c r="Q58" i="30"/>
  <c r="Q272" i="30"/>
  <c r="Q318" i="30"/>
  <c r="Q187" i="30"/>
  <c r="Q241" i="30"/>
  <c r="Q171" i="30"/>
  <c r="Q130" i="30"/>
  <c r="Q221" i="30"/>
  <c r="Q164" i="30"/>
  <c r="Q83" i="30"/>
  <c r="Q226" i="30"/>
  <c r="Q253" i="30"/>
  <c r="Q192" i="30"/>
  <c r="Q204" i="30"/>
  <c r="Q261" i="30"/>
  <c r="T261" i="30" s="1"/>
  <c r="U261" i="30" s="1"/>
  <c r="Q215" i="30"/>
  <c r="Q210" i="30"/>
  <c r="Q146" i="30"/>
  <c r="Q145" i="30"/>
  <c r="Q24" i="30"/>
  <c r="Q136" i="30"/>
  <c r="Q147" i="30"/>
  <c r="Q295" i="30"/>
  <c r="Q255" i="30"/>
  <c r="Q270" i="30"/>
  <c r="Q81" i="30"/>
  <c r="Q281" i="30"/>
  <c r="Q57" i="30"/>
  <c r="Q315" i="30"/>
  <c r="T315" i="30" s="1"/>
  <c r="U315" i="30" s="1"/>
  <c r="Q120" i="30"/>
  <c r="T120" i="30" s="1"/>
  <c r="U120" i="30" s="1"/>
  <c r="Q230" i="30"/>
  <c r="T230" i="30" s="1"/>
  <c r="U230" i="30" s="1"/>
  <c r="Q250" i="30"/>
  <c r="Q85" i="30"/>
  <c r="Q185" i="30"/>
  <c r="Q194" i="30"/>
  <c r="Q177" i="30"/>
  <c r="Q228" i="30"/>
  <c r="Q286" i="30"/>
  <c r="Q157" i="30"/>
  <c r="Q278" i="30"/>
  <c r="Q148" i="30"/>
  <c r="Q102" i="30"/>
  <c r="Q247" i="30"/>
  <c r="Q214" i="30"/>
  <c r="Q167" i="30"/>
  <c r="Q91" i="30"/>
  <c r="Q27" i="30"/>
  <c r="Q180" i="30"/>
  <c r="Q26" i="30"/>
  <c r="Q50" i="30"/>
  <c r="Q306" i="30"/>
  <c r="Q155" i="30"/>
  <c r="Q139" i="30"/>
  <c r="Q51" i="30"/>
  <c r="Q320" i="30"/>
  <c r="Q133" i="30"/>
  <c r="Q297" i="30"/>
  <c r="Q35" i="30"/>
  <c r="Q41" i="30"/>
  <c r="Q277" i="30"/>
  <c r="T277" i="30" s="1"/>
  <c r="U277" i="30" s="1"/>
  <c r="Q43" i="30"/>
  <c r="T43" i="30" s="1"/>
  <c r="U43" i="30" s="1"/>
  <c r="Q119" i="30"/>
  <c r="T119" i="30" s="1"/>
  <c r="U119" i="30" s="1"/>
  <c r="Q137" i="30"/>
  <c r="Q42" i="30"/>
  <c r="Q40" i="30"/>
  <c r="Q109" i="30"/>
  <c r="Q209" i="30"/>
  <c r="Q273" i="30"/>
  <c r="Q175" i="30"/>
  <c r="Q292" i="30"/>
  <c r="Q208" i="30"/>
  <c r="Q123" i="30"/>
  <c r="Q141" i="30"/>
  <c r="Q87" i="30"/>
  <c r="Q149" i="30"/>
  <c r="Q121" i="30"/>
  <c r="Q309" i="30"/>
  <c r="Q265" i="30"/>
  <c r="T265" i="30" s="1"/>
  <c r="U265" i="30" s="1"/>
  <c r="Q304" i="30"/>
  <c r="T304" i="30" s="1"/>
  <c r="U304" i="30" s="1"/>
  <c r="Q234" i="30"/>
  <c r="Q142" i="30"/>
  <c r="Q128" i="30"/>
  <c r="Q88" i="30"/>
  <c r="Q217" i="30"/>
  <c r="Q132" i="30"/>
  <c r="Q245" i="30"/>
  <c r="Q15" i="30"/>
  <c r="Q46" i="30"/>
  <c r="Q199" i="30"/>
  <c r="Q174" i="30"/>
  <c r="Q97" i="30"/>
  <c r="Q258" i="30"/>
  <c r="Q86" i="30"/>
  <c r="Q111" i="30"/>
  <c r="Q298" i="30"/>
  <c r="Q34" i="30"/>
  <c r="Q301" i="30"/>
  <c r="Q310" i="30"/>
  <c r="Q126" i="30"/>
  <c r="Q144" i="30"/>
  <c r="Q168" i="30"/>
  <c r="Q73" i="30"/>
  <c r="Q200" i="30"/>
  <c r="Q127" i="30"/>
  <c r="Q218" i="30"/>
  <c r="Q239" i="30"/>
  <c r="Q198" i="30"/>
  <c r="Q59" i="30"/>
  <c r="T59" i="30" s="1"/>
  <c r="U59" i="30" s="1"/>
  <c r="Q153" i="30"/>
  <c r="Q122" i="30"/>
  <c r="Q54" i="30"/>
  <c r="Q53" i="30"/>
  <c r="Q183" i="30"/>
  <c r="Q257" i="30"/>
  <c r="Q223" i="30"/>
  <c r="Q268" i="30"/>
  <c r="Q193" i="30"/>
  <c r="Q260" i="30"/>
  <c r="Q224" i="30"/>
  <c r="Q36" i="30"/>
  <c r="Q93" i="30"/>
  <c r="Q101" i="30"/>
  <c r="Q115" i="30"/>
  <c r="T115" i="30" s="1"/>
  <c r="U115" i="30" s="1"/>
  <c r="Q39" i="30"/>
  <c r="T39" i="30" s="1"/>
  <c r="U39" i="30" s="1"/>
  <c r="Q131" i="30"/>
  <c r="T131" i="30" s="1"/>
  <c r="U131" i="30" s="1"/>
  <c r="Q23" i="30"/>
  <c r="T23" i="30" s="1"/>
  <c r="U23" i="30" s="1"/>
  <c r="Q169" i="30"/>
  <c r="T169" i="30" s="1"/>
  <c r="U169" i="30" s="1"/>
  <c r="Q184" i="30"/>
  <c r="Q112" i="30"/>
  <c r="Q252" i="30"/>
  <c r="Q82" i="30"/>
  <c r="Q296" i="30"/>
  <c r="Q13" i="30"/>
  <c r="Q56" i="30"/>
  <c r="Q256" i="30"/>
  <c r="Q30" i="30"/>
  <c r="Q95" i="30"/>
  <c r="Q12" i="30"/>
  <c r="Q311" i="30"/>
  <c r="Q89" i="30"/>
  <c r="Q67" i="30"/>
  <c r="Q47" i="30"/>
  <c r="T47" i="30" s="1"/>
  <c r="U47" i="30" s="1"/>
  <c r="Q275" i="30"/>
  <c r="T275" i="30" s="1"/>
  <c r="U275" i="30" s="1"/>
  <c r="Q274" i="30"/>
  <c r="Q321" i="30"/>
  <c r="Q159" i="30"/>
  <c r="Q240" i="30"/>
  <c r="Q248" i="30"/>
  <c r="Q188" i="30"/>
  <c r="Q316" i="30"/>
  <c r="Q166" i="30"/>
  <c r="Q254" i="30"/>
  <c r="Q319" i="30"/>
  <c r="Q259" i="30"/>
  <c r="Q64" i="30"/>
  <c r="Q283" i="30"/>
  <c r="Q246" i="30"/>
  <c r="Q129" i="30"/>
  <c r="Q308" i="30"/>
  <c r="T308" i="30" s="1"/>
  <c r="U308" i="30" s="1"/>
  <c r="Q113" i="30"/>
  <c r="Q80" i="30"/>
  <c r="Q284" i="30"/>
  <c r="Q271" i="30"/>
  <c r="Q75" i="30"/>
  <c r="Q244" i="30"/>
  <c r="Q206" i="30"/>
  <c r="Q4" i="30"/>
  <c r="Q225" i="30"/>
  <c r="Q98" i="30"/>
  <c r="Q140" i="30"/>
  <c r="Q179" i="30"/>
  <c r="Q197" i="30"/>
  <c r="Q236" i="30"/>
  <c r="Q312" i="30"/>
  <c r="Q291" i="30"/>
  <c r="Q79" i="30"/>
  <c r="Q77" i="30"/>
  <c r="Q282" i="30"/>
  <c r="Q279" i="30"/>
  <c r="Q94" i="30"/>
  <c r="Q45" i="30"/>
  <c r="Q289" i="30"/>
  <c r="Q14" i="30"/>
  <c r="Q190" i="30"/>
  <c r="Q288" i="30"/>
  <c r="T288" i="30" s="1"/>
  <c r="U288" i="30" s="1"/>
  <c r="Q249" i="30"/>
  <c r="T249" i="30" s="1"/>
  <c r="U249" i="30" s="1"/>
  <c r="Q106" i="30"/>
  <c r="T106" i="30" s="1"/>
  <c r="U106" i="30" s="1"/>
  <c r="Q302" i="30"/>
  <c r="Q207" i="30"/>
  <c r="Q2" i="30"/>
  <c r="Q107" i="30"/>
  <c r="T107" i="30" s="1"/>
  <c r="U107" i="30" s="1"/>
  <c r="Q55" i="30"/>
  <c r="Q267" i="30"/>
  <c r="Q134" i="30"/>
  <c r="Q266" i="30"/>
  <c r="Q285" i="30"/>
  <c r="Q65" i="30"/>
  <c r="Q84" i="30"/>
  <c r="Q154" i="30"/>
  <c r="Q195" i="30"/>
  <c r="Q33" i="30"/>
  <c r="Q264" i="30"/>
  <c r="Q233" i="30"/>
  <c r="Q10" i="30"/>
  <c r="Q263" i="30"/>
  <c r="Q242" i="30"/>
  <c r="Q203" i="30"/>
  <c r="T203" i="30" s="1"/>
  <c r="U203" i="30" s="1"/>
  <c r="Q62" i="30"/>
  <c r="Q160" i="30"/>
  <c r="Q213" i="30"/>
  <c r="Q32" i="30"/>
  <c r="Q3" i="30"/>
  <c r="Q219" i="30"/>
  <c r="Q293" i="30"/>
  <c r="Q229" i="30"/>
  <c r="Q211" i="30"/>
  <c r="Q181" i="30"/>
  <c r="T181" i="30" s="1"/>
  <c r="U181" i="30" s="1"/>
  <c r="Q150" i="30"/>
  <c r="Q74" i="30"/>
  <c r="Q269" i="30"/>
  <c r="T269" i="30" s="1"/>
  <c r="U269" i="30" s="1"/>
  <c r="Q63" i="30"/>
  <c r="T63" i="30" s="1"/>
  <c r="U63" i="30" s="1"/>
  <c r="Q143" i="30"/>
  <c r="T143" i="30" s="1"/>
  <c r="U143" i="30" s="1"/>
  <c r="Q108" i="30"/>
  <c r="T108" i="30" s="1"/>
  <c r="U108" i="30" s="1"/>
  <c r="Q5" i="30"/>
  <c r="Q22" i="30"/>
  <c r="Q72" i="30"/>
  <c r="Q196" i="30"/>
  <c r="Q16" i="30"/>
  <c r="Q212" i="30"/>
  <c r="Q138" i="30"/>
  <c r="Q8" i="30"/>
  <c r="Q105" i="30"/>
  <c r="Q124" i="30"/>
  <c r="Q151" i="30"/>
  <c r="Q99" i="30"/>
  <c r="Q7" i="30"/>
  <c r="T7" i="30" s="1"/>
  <c r="U7" i="30" s="1"/>
  <c r="Q66" i="30"/>
  <c r="Q61" i="30"/>
  <c r="Q71" i="30"/>
  <c r="Q90" i="30"/>
  <c r="Q227" i="30"/>
  <c r="Q114" i="30"/>
  <c r="Q31" i="30"/>
  <c r="Q235" i="30"/>
  <c r="Q300" i="30"/>
  <c r="Q78" i="30"/>
  <c r="Q161" i="30"/>
  <c r="Q305" i="30"/>
  <c r="Q307" i="30"/>
  <c r="T307" i="30" s="1"/>
  <c r="U307" i="30" s="1"/>
  <c r="Q205" i="30"/>
  <c r="T205" i="30" s="1"/>
  <c r="U205" i="30" s="1"/>
  <c r="Q135" i="30"/>
  <c r="Q28" i="30"/>
  <c r="Q9" i="30"/>
  <c r="Q20" i="30"/>
  <c r="T20" i="30" s="1"/>
  <c r="U20" i="30" s="1"/>
  <c r="Q19" i="30"/>
  <c r="T19" i="30" s="1"/>
  <c r="U19" i="30" s="1"/>
  <c r="Q49" i="30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2" i="2"/>
  <c r="T213" i="30"/>
  <c r="U213" i="30" s="1"/>
  <c r="T279" i="30"/>
  <c r="U279" i="30" s="1"/>
  <c r="T282" i="30"/>
  <c r="U282" i="30" s="1"/>
  <c r="T159" i="30"/>
  <c r="U159" i="30" s="1"/>
  <c r="T310" i="30"/>
  <c r="U310" i="30" s="1"/>
  <c r="T128" i="30"/>
  <c r="U128" i="30" s="1"/>
  <c r="T209" i="30"/>
  <c r="U209" i="30" s="1"/>
  <c r="T109" i="30"/>
  <c r="U109" i="30" s="1"/>
  <c r="T306" i="30"/>
  <c r="U306" i="30" s="1"/>
  <c r="T50" i="30"/>
  <c r="U50" i="30" s="1"/>
  <c r="T185" i="30"/>
  <c r="U185" i="30" s="1"/>
  <c r="T145" i="30"/>
  <c r="U145" i="30" s="1"/>
  <c r="T160" i="30"/>
  <c r="U160" i="30" s="1"/>
  <c r="T267" i="30"/>
  <c r="U267" i="30" s="1"/>
  <c r="T77" i="30"/>
  <c r="U77" i="30" s="1"/>
  <c r="T321" i="30"/>
  <c r="U321" i="30" s="1"/>
  <c r="T112" i="30"/>
  <c r="U112" i="30" s="1"/>
  <c r="T183" i="30"/>
  <c r="U183" i="30" s="1"/>
  <c r="T301" i="30"/>
  <c r="U301" i="30" s="1"/>
  <c r="T46" i="30"/>
  <c r="U46" i="30" s="1"/>
  <c r="T210" i="30"/>
  <c r="U210" i="30" s="1"/>
  <c r="T58" i="30"/>
  <c r="U58" i="30" s="1"/>
  <c r="T38" i="30"/>
  <c r="U38" i="30" s="1"/>
  <c r="T299" i="30"/>
  <c r="U299" i="30" s="1"/>
  <c r="T44" i="30"/>
  <c r="U44" i="30" s="1"/>
  <c r="T75" i="30"/>
  <c r="U75" i="30" s="1"/>
  <c r="T95" i="30"/>
  <c r="U95" i="30" s="1"/>
  <c r="T239" i="30"/>
  <c r="U239" i="30" s="1"/>
  <c r="T218" i="30"/>
  <c r="U218" i="30" s="1"/>
  <c r="T199" i="30"/>
  <c r="U199" i="30" s="1"/>
  <c r="T276" i="30"/>
  <c r="U276" i="30" s="1"/>
  <c r="P44" i="30"/>
  <c r="O44" i="30"/>
  <c r="P92" i="30"/>
  <c r="T92" i="30" s="1"/>
  <c r="U92" i="30" s="1"/>
  <c r="O92" i="30"/>
  <c r="P201" i="30"/>
  <c r="T201" i="30" s="1"/>
  <c r="U201" i="30" s="1"/>
  <c r="O201" i="30"/>
  <c r="P17" i="30"/>
  <c r="O17" i="30"/>
  <c r="P238" i="30"/>
  <c r="O238" i="30"/>
  <c r="P186" i="30"/>
  <c r="O186" i="30"/>
  <c r="P163" i="30"/>
  <c r="T163" i="30" s="1"/>
  <c r="U163" i="30" s="1"/>
  <c r="O163" i="30"/>
  <c r="P231" i="30"/>
  <c r="O231" i="30"/>
  <c r="P276" i="30"/>
  <c r="O276" i="30"/>
  <c r="P96" i="30"/>
  <c r="O96" i="30"/>
  <c r="P37" i="30"/>
  <c r="O37" i="30"/>
  <c r="P100" i="30"/>
  <c r="O100" i="30"/>
  <c r="P21" i="30"/>
  <c r="O21" i="30"/>
  <c r="P232" i="30"/>
  <c r="O232" i="30"/>
  <c r="P6" i="30"/>
  <c r="O6" i="30"/>
  <c r="P237" i="30"/>
  <c r="O237" i="30"/>
  <c r="P299" i="30"/>
  <c r="O299" i="30"/>
  <c r="P110" i="30"/>
  <c r="T110" i="30" s="1"/>
  <c r="U110" i="30" s="1"/>
  <c r="O110" i="30"/>
  <c r="P178" i="30"/>
  <c r="T178" i="30" s="1"/>
  <c r="U178" i="30" s="1"/>
  <c r="O178" i="30"/>
  <c r="P68" i="30"/>
  <c r="O68" i="30"/>
  <c r="P18" i="30"/>
  <c r="O18" i="30"/>
  <c r="P116" i="30"/>
  <c r="O116" i="30"/>
  <c r="P317" i="30"/>
  <c r="T317" i="30" s="1"/>
  <c r="U317" i="30" s="1"/>
  <c r="O317" i="30"/>
  <c r="P182" i="30"/>
  <c r="O182" i="30"/>
  <c r="P189" i="30"/>
  <c r="O189" i="30"/>
  <c r="P103" i="30"/>
  <c r="O103" i="30"/>
  <c r="P173" i="30"/>
  <c r="O173" i="30"/>
  <c r="P60" i="30"/>
  <c r="O60" i="30"/>
  <c r="P158" i="30"/>
  <c r="O158" i="30"/>
  <c r="P314" i="30"/>
  <c r="O314" i="30"/>
  <c r="P52" i="30"/>
  <c r="O52" i="30"/>
  <c r="P222" i="30"/>
  <c r="O222" i="30"/>
  <c r="P69" i="30"/>
  <c r="T69" i="30" s="1"/>
  <c r="U69" i="30" s="1"/>
  <c r="O69" i="30"/>
  <c r="P104" i="30"/>
  <c r="T104" i="30" s="1"/>
  <c r="U104" i="30" s="1"/>
  <c r="O104" i="30"/>
  <c r="P125" i="30"/>
  <c r="T125" i="30" s="1"/>
  <c r="U125" i="30" s="1"/>
  <c r="O125" i="30"/>
  <c r="P76" i="30"/>
  <c r="O76" i="30"/>
  <c r="P118" i="30"/>
  <c r="O118" i="30"/>
  <c r="P191" i="30"/>
  <c r="O191" i="30"/>
  <c r="P48" i="30"/>
  <c r="T48" i="30" s="1"/>
  <c r="U48" i="30" s="1"/>
  <c r="O48" i="30"/>
  <c r="P25" i="30"/>
  <c r="T25" i="30" s="1"/>
  <c r="U25" i="30" s="1"/>
  <c r="O25" i="30"/>
  <c r="P70" i="30"/>
  <c r="O70" i="30"/>
  <c r="P156" i="30"/>
  <c r="O156" i="30"/>
  <c r="P220" i="30"/>
  <c r="O220" i="30"/>
  <c r="P11" i="30"/>
  <c r="O11" i="30"/>
  <c r="P313" i="30"/>
  <c r="O313" i="30"/>
  <c r="P117" i="30"/>
  <c r="O117" i="30"/>
  <c r="P251" i="30"/>
  <c r="O251" i="30"/>
  <c r="P176" i="30"/>
  <c r="O176" i="30"/>
  <c r="P38" i="30"/>
  <c r="O38" i="30"/>
  <c r="P162" i="30"/>
  <c r="T162" i="30" s="1"/>
  <c r="U162" i="30" s="1"/>
  <c r="O162" i="30"/>
  <c r="P294" i="30"/>
  <c r="O294" i="30"/>
  <c r="P29" i="30"/>
  <c r="O29" i="30"/>
  <c r="P287" i="30"/>
  <c r="O287" i="30"/>
  <c r="P243" i="30"/>
  <c r="O243" i="30"/>
  <c r="P262" i="30"/>
  <c r="T262" i="30" s="1"/>
  <c r="U262" i="30" s="1"/>
  <c r="O262" i="30"/>
  <c r="P172" i="30"/>
  <c r="T172" i="30" s="1"/>
  <c r="U172" i="30" s="1"/>
  <c r="O172" i="30"/>
  <c r="P216" i="30"/>
  <c r="O216" i="30"/>
  <c r="P290" i="30"/>
  <c r="O290" i="30"/>
  <c r="P152" i="30"/>
  <c r="O152" i="30"/>
  <c r="P170" i="30"/>
  <c r="O170" i="30"/>
  <c r="P280" i="30"/>
  <c r="O280" i="30"/>
  <c r="P165" i="30"/>
  <c r="O165" i="30"/>
  <c r="P202" i="30"/>
  <c r="O202" i="30"/>
  <c r="P303" i="30"/>
  <c r="O303" i="30"/>
  <c r="P58" i="30"/>
  <c r="O58" i="30"/>
  <c r="P272" i="30"/>
  <c r="T272" i="30" s="1"/>
  <c r="U272" i="30" s="1"/>
  <c r="O272" i="30"/>
  <c r="P318" i="30"/>
  <c r="O318" i="30"/>
  <c r="P187" i="30"/>
  <c r="O187" i="30"/>
  <c r="P241" i="30"/>
  <c r="O241" i="30"/>
  <c r="P171" i="30"/>
  <c r="O171" i="30"/>
  <c r="P130" i="30"/>
  <c r="T130" i="30" s="1"/>
  <c r="U130" i="30" s="1"/>
  <c r="O130" i="30"/>
  <c r="P221" i="30"/>
  <c r="O221" i="30"/>
  <c r="P164" i="30"/>
  <c r="O164" i="30"/>
  <c r="P83" i="30"/>
  <c r="O83" i="30"/>
  <c r="P226" i="30"/>
  <c r="O226" i="30"/>
  <c r="P253" i="30"/>
  <c r="O253" i="30"/>
  <c r="P192" i="30"/>
  <c r="O192" i="30"/>
  <c r="P204" i="30"/>
  <c r="O204" i="30"/>
  <c r="P261" i="30"/>
  <c r="O261" i="30"/>
  <c r="P215" i="30"/>
  <c r="O215" i="30"/>
  <c r="P210" i="30"/>
  <c r="O210" i="30"/>
  <c r="P146" i="30"/>
  <c r="T146" i="30" s="1"/>
  <c r="U146" i="30" s="1"/>
  <c r="O146" i="30"/>
  <c r="P145" i="30"/>
  <c r="O145" i="30"/>
  <c r="P24" i="30"/>
  <c r="O24" i="30"/>
  <c r="P136" i="30"/>
  <c r="O136" i="30"/>
  <c r="P147" i="30"/>
  <c r="O147" i="30"/>
  <c r="P295" i="30"/>
  <c r="T295" i="30" s="1"/>
  <c r="U295" i="30" s="1"/>
  <c r="O295" i="30"/>
  <c r="P255" i="30"/>
  <c r="O255" i="30"/>
  <c r="P270" i="30"/>
  <c r="O270" i="30"/>
  <c r="P81" i="30"/>
  <c r="O81" i="30"/>
  <c r="P281" i="30"/>
  <c r="O281" i="30"/>
  <c r="P57" i="30"/>
  <c r="O57" i="30"/>
  <c r="P315" i="30"/>
  <c r="O315" i="30"/>
  <c r="P120" i="30"/>
  <c r="O120" i="30"/>
  <c r="P230" i="30"/>
  <c r="O230" i="30"/>
  <c r="P250" i="30"/>
  <c r="O250" i="30"/>
  <c r="P85" i="30"/>
  <c r="T85" i="30" s="1"/>
  <c r="U85" i="30" s="1"/>
  <c r="O85" i="30"/>
  <c r="P185" i="30"/>
  <c r="O185" i="30"/>
  <c r="P194" i="30"/>
  <c r="O194" i="30"/>
  <c r="P177" i="30"/>
  <c r="O177" i="30"/>
  <c r="P228" i="30"/>
  <c r="O228" i="30"/>
  <c r="P286" i="30"/>
  <c r="O286" i="30"/>
  <c r="P157" i="30"/>
  <c r="T157" i="30" s="1"/>
  <c r="U157" i="30" s="1"/>
  <c r="O157" i="30"/>
  <c r="P278" i="30"/>
  <c r="O278" i="30"/>
  <c r="P148" i="30"/>
  <c r="O148" i="30"/>
  <c r="P102" i="30"/>
  <c r="O102" i="30"/>
  <c r="P247" i="30"/>
  <c r="O247" i="30"/>
  <c r="P214" i="30"/>
  <c r="O214" i="30"/>
  <c r="P167" i="30"/>
  <c r="O167" i="30"/>
  <c r="P91" i="30"/>
  <c r="O91" i="30"/>
  <c r="P27" i="30"/>
  <c r="O27" i="30"/>
  <c r="P180" i="30"/>
  <c r="O180" i="30"/>
  <c r="P26" i="30"/>
  <c r="T26" i="30" s="1"/>
  <c r="U26" i="30" s="1"/>
  <c r="O26" i="30"/>
  <c r="P50" i="30"/>
  <c r="O50" i="30"/>
  <c r="P306" i="30"/>
  <c r="O306" i="30"/>
  <c r="P155" i="30"/>
  <c r="O155" i="30"/>
  <c r="P139" i="30"/>
  <c r="O139" i="30"/>
  <c r="P51" i="30"/>
  <c r="O51" i="30"/>
  <c r="P320" i="30"/>
  <c r="T320" i="30" s="1"/>
  <c r="U320" i="30" s="1"/>
  <c r="O320" i="30"/>
  <c r="P133" i="30"/>
  <c r="O133" i="30"/>
  <c r="P297" i="30"/>
  <c r="O297" i="30"/>
  <c r="P35" i="30"/>
  <c r="O35" i="30"/>
  <c r="P41" i="30"/>
  <c r="O41" i="30"/>
  <c r="P277" i="30"/>
  <c r="O277" i="30"/>
  <c r="P43" i="30"/>
  <c r="O43" i="30"/>
  <c r="P119" i="30"/>
  <c r="O119" i="30"/>
  <c r="P137" i="30"/>
  <c r="O137" i="30"/>
  <c r="P42" i="30"/>
  <c r="O42" i="30"/>
  <c r="P40" i="30"/>
  <c r="T40" i="30" s="1"/>
  <c r="U40" i="30" s="1"/>
  <c r="O40" i="30"/>
  <c r="P109" i="30"/>
  <c r="O109" i="30"/>
  <c r="P209" i="30"/>
  <c r="O209" i="30"/>
  <c r="P273" i="30"/>
  <c r="O273" i="30"/>
  <c r="P175" i="30"/>
  <c r="O175" i="30"/>
  <c r="P292" i="30"/>
  <c r="O292" i="30"/>
  <c r="P208" i="30"/>
  <c r="T208" i="30" s="1"/>
  <c r="U208" i="30" s="1"/>
  <c r="O208" i="30"/>
  <c r="P123" i="30"/>
  <c r="T123" i="30" s="1"/>
  <c r="U123" i="30" s="1"/>
  <c r="O123" i="30"/>
  <c r="P141" i="30"/>
  <c r="O141" i="30"/>
  <c r="P87" i="30"/>
  <c r="O87" i="30"/>
  <c r="P149" i="30"/>
  <c r="O149" i="30"/>
  <c r="P121" i="30"/>
  <c r="O121" i="30"/>
  <c r="P309" i="30"/>
  <c r="O309" i="30"/>
  <c r="P265" i="30"/>
  <c r="O265" i="30"/>
  <c r="P304" i="30"/>
  <c r="O304" i="30"/>
  <c r="P234" i="30"/>
  <c r="O234" i="30"/>
  <c r="P142" i="30"/>
  <c r="T142" i="30" s="1"/>
  <c r="U142" i="30" s="1"/>
  <c r="O142" i="30"/>
  <c r="P128" i="30"/>
  <c r="O128" i="30"/>
  <c r="P88" i="30"/>
  <c r="T88" i="30" s="1"/>
  <c r="U88" i="30" s="1"/>
  <c r="O88" i="30"/>
  <c r="P217" i="30"/>
  <c r="O217" i="30"/>
  <c r="P132" i="30"/>
  <c r="O132" i="30"/>
  <c r="P245" i="30"/>
  <c r="O245" i="30"/>
  <c r="P15" i="30"/>
  <c r="T15" i="30" s="1"/>
  <c r="U15" i="30" s="1"/>
  <c r="O15" i="30"/>
  <c r="P46" i="30"/>
  <c r="O46" i="30"/>
  <c r="P199" i="30"/>
  <c r="O199" i="30"/>
  <c r="P174" i="30"/>
  <c r="O174" i="30"/>
  <c r="P97" i="30"/>
  <c r="O97" i="30"/>
  <c r="P258" i="30"/>
  <c r="O258" i="30"/>
  <c r="P86" i="30"/>
  <c r="O86" i="30"/>
  <c r="P111" i="30"/>
  <c r="O111" i="30"/>
  <c r="P298" i="30"/>
  <c r="O298" i="30"/>
  <c r="P34" i="30"/>
  <c r="O34" i="30"/>
  <c r="P301" i="30"/>
  <c r="O301" i="30"/>
  <c r="P310" i="30"/>
  <c r="O310" i="30"/>
  <c r="P126" i="30"/>
  <c r="O126" i="30"/>
  <c r="P144" i="30"/>
  <c r="O144" i="30"/>
  <c r="P168" i="30"/>
  <c r="O168" i="30"/>
  <c r="P73" i="30"/>
  <c r="T73" i="30" s="1"/>
  <c r="U73" i="30" s="1"/>
  <c r="O73" i="30"/>
  <c r="P200" i="30"/>
  <c r="T200" i="30" s="1"/>
  <c r="U200" i="30" s="1"/>
  <c r="O200" i="30"/>
  <c r="P127" i="30"/>
  <c r="T127" i="30" s="1"/>
  <c r="U127" i="30" s="1"/>
  <c r="O127" i="30"/>
  <c r="P218" i="30"/>
  <c r="O218" i="30"/>
  <c r="P239" i="30"/>
  <c r="O239" i="30"/>
  <c r="P198" i="30"/>
  <c r="O198" i="30"/>
  <c r="P59" i="30"/>
  <c r="O59" i="30"/>
  <c r="P153" i="30"/>
  <c r="O153" i="30"/>
  <c r="P122" i="30"/>
  <c r="O122" i="30"/>
  <c r="P54" i="30"/>
  <c r="O54" i="30"/>
  <c r="P53" i="30"/>
  <c r="O53" i="30"/>
  <c r="P183" i="30"/>
  <c r="O183" i="30"/>
  <c r="P257" i="30"/>
  <c r="T257" i="30" s="1"/>
  <c r="U257" i="30" s="1"/>
  <c r="O257" i="30"/>
  <c r="P223" i="30"/>
  <c r="O223" i="30"/>
  <c r="P268" i="30"/>
  <c r="O268" i="30"/>
  <c r="P193" i="30"/>
  <c r="O193" i="30"/>
  <c r="P260" i="30"/>
  <c r="O260" i="30"/>
  <c r="P224" i="30"/>
  <c r="T224" i="30" s="1"/>
  <c r="U224" i="30" s="1"/>
  <c r="O224" i="30"/>
  <c r="P36" i="30"/>
  <c r="O36" i="30"/>
  <c r="P93" i="30"/>
  <c r="O93" i="30"/>
  <c r="P101" i="30"/>
  <c r="O101" i="30"/>
  <c r="P115" i="30"/>
  <c r="O115" i="30"/>
  <c r="P39" i="30"/>
  <c r="O39" i="30"/>
  <c r="P131" i="30"/>
  <c r="O131" i="30"/>
  <c r="P23" i="30"/>
  <c r="O23" i="30"/>
  <c r="P169" i="30"/>
  <c r="O169" i="30"/>
  <c r="P184" i="30"/>
  <c r="O184" i="30"/>
  <c r="P112" i="30"/>
  <c r="O112" i="30"/>
  <c r="P252" i="30"/>
  <c r="T252" i="30" s="1"/>
  <c r="U252" i="30" s="1"/>
  <c r="O252" i="30"/>
  <c r="P82" i="30"/>
  <c r="T82" i="30" s="1"/>
  <c r="U82" i="30" s="1"/>
  <c r="O82" i="30"/>
  <c r="P296" i="30"/>
  <c r="O296" i="30"/>
  <c r="P13" i="30"/>
  <c r="O13" i="30"/>
  <c r="P56" i="30"/>
  <c r="O56" i="30"/>
  <c r="P256" i="30"/>
  <c r="T256" i="30" s="1"/>
  <c r="U256" i="30" s="1"/>
  <c r="O256" i="30"/>
  <c r="P30" i="30"/>
  <c r="O30" i="30"/>
  <c r="P95" i="30"/>
  <c r="O95" i="30"/>
  <c r="P12" i="30"/>
  <c r="O12" i="30"/>
  <c r="P311" i="30"/>
  <c r="O311" i="30"/>
  <c r="P89" i="30"/>
  <c r="O89" i="30"/>
  <c r="P67" i="30"/>
  <c r="O67" i="30"/>
  <c r="P47" i="30"/>
  <c r="O47" i="30"/>
  <c r="P275" i="30"/>
  <c r="O275" i="30"/>
  <c r="P274" i="30"/>
  <c r="O274" i="30"/>
  <c r="P321" i="30"/>
  <c r="O321" i="30"/>
  <c r="P159" i="30"/>
  <c r="O159" i="30"/>
  <c r="P240" i="30"/>
  <c r="O240" i="30"/>
  <c r="P248" i="30"/>
  <c r="O248" i="30"/>
  <c r="P188" i="30"/>
  <c r="O188" i="30"/>
  <c r="P316" i="30"/>
  <c r="O316" i="30"/>
  <c r="P166" i="30"/>
  <c r="T166" i="30" s="1"/>
  <c r="U166" i="30" s="1"/>
  <c r="O166" i="30"/>
  <c r="P254" i="30"/>
  <c r="O254" i="30"/>
  <c r="P319" i="30"/>
  <c r="O319" i="30"/>
  <c r="P259" i="30"/>
  <c r="O259" i="30"/>
  <c r="P64" i="30"/>
  <c r="O64" i="30"/>
  <c r="P283" i="30"/>
  <c r="O283" i="30"/>
  <c r="P246" i="30"/>
  <c r="O246" i="30"/>
  <c r="P129" i="30"/>
  <c r="O129" i="30"/>
  <c r="P308" i="30"/>
  <c r="O308" i="30"/>
  <c r="P113" i="30"/>
  <c r="O113" i="30"/>
  <c r="P80" i="30"/>
  <c r="T80" i="30" s="1"/>
  <c r="U80" i="30" s="1"/>
  <c r="O80" i="30"/>
  <c r="P284" i="30"/>
  <c r="T284" i="30" s="1"/>
  <c r="U284" i="30" s="1"/>
  <c r="O284" i="30"/>
  <c r="P271" i="30"/>
  <c r="O271" i="30"/>
  <c r="P75" i="30"/>
  <c r="O75" i="30"/>
  <c r="P244" i="30"/>
  <c r="O244" i="30"/>
  <c r="P206" i="30"/>
  <c r="T206" i="30" s="1"/>
  <c r="U206" i="30" s="1"/>
  <c r="O206" i="30"/>
  <c r="P4" i="30"/>
  <c r="T4" i="30" s="1"/>
  <c r="U4" i="30" s="1"/>
  <c r="O4" i="30"/>
  <c r="P225" i="30"/>
  <c r="T225" i="30" s="1"/>
  <c r="U225" i="30" s="1"/>
  <c r="O225" i="30"/>
  <c r="P98" i="30"/>
  <c r="O98" i="30"/>
  <c r="P140" i="30"/>
  <c r="O140" i="30"/>
  <c r="P179" i="30"/>
  <c r="O179" i="30"/>
  <c r="P197" i="30"/>
  <c r="O197" i="30"/>
  <c r="P236" i="30"/>
  <c r="O236" i="30"/>
  <c r="P312" i="30"/>
  <c r="O312" i="30"/>
  <c r="P291" i="30"/>
  <c r="O291" i="30"/>
  <c r="P79" i="30"/>
  <c r="O79" i="30"/>
  <c r="P77" i="30"/>
  <c r="O77" i="30"/>
  <c r="P282" i="30"/>
  <c r="O282" i="30"/>
  <c r="P279" i="30"/>
  <c r="O279" i="30"/>
  <c r="P94" i="30"/>
  <c r="O94" i="30"/>
  <c r="P45" i="30"/>
  <c r="O45" i="30"/>
  <c r="P289" i="30"/>
  <c r="O289" i="30"/>
  <c r="P14" i="30"/>
  <c r="T14" i="30" s="1"/>
  <c r="U14" i="30" s="1"/>
  <c r="O14" i="30"/>
  <c r="P190" i="30"/>
  <c r="T190" i="30" s="1"/>
  <c r="U190" i="30" s="1"/>
  <c r="O190" i="30"/>
  <c r="P288" i="30"/>
  <c r="O288" i="30"/>
  <c r="P249" i="30"/>
  <c r="O249" i="30"/>
  <c r="P106" i="30"/>
  <c r="O106" i="30"/>
  <c r="P302" i="30"/>
  <c r="O302" i="30"/>
  <c r="P207" i="30"/>
  <c r="O207" i="30"/>
  <c r="P2" i="30"/>
  <c r="O2" i="30"/>
  <c r="P107" i="30"/>
  <c r="O107" i="30"/>
  <c r="P55" i="30"/>
  <c r="O55" i="30"/>
  <c r="P267" i="30"/>
  <c r="O267" i="30"/>
  <c r="P134" i="30"/>
  <c r="T134" i="30" s="1"/>
  <c r="U134" i="30" s="1"/>
  <c r="O134" i="30"/>
  <c r="P266" i="30"/>
  <c r="O266" i="30"/>
  <c r="P285" i="30"/>
  <c r="O285" i="30"/>
  <c r="P65" i="30"/>
  <c r="O65" i="30"/>
  <c r="P84" i="30"/>
  <c r="O84" i="30"/>
  <c r="P154" i="30"/>
  <c r="T154" i="30" s="1"/>
  <c r="U154" i="30" s="1"/>
  <c r="O154" i="30"/>
  <c r="P195" i="30"/>
  <c r="T195" i="30" s="1"/>
  <c r="U195" i="30" s="1"/>
  <c r="O195" i="30"/>
  <c r="P33" i="30"/>
  <c r="O33" i="30"/>
  <c r="P264" i="30"/>
  <c r="O264" i="30"/>
  <c r="P233" i="30"/>
  <c r="O233" i="30"/>
  <c r="P10" i="30"/>
  <c r="O10" i="30"/>
  <c r="P263" i="30"/>
  <c r="O263" i="30"/>
  <c r="P242" i="30"/>
  <c r="O242" i="30"/>
  <c r="P203" i="30"/>
  <c r="O203" i="30"/>
  <c r="P62" i="30"/>
  <c r="O62" i="30"/>
  <c r="P160" i="30"/>
  <c r="O160" i="30"/>
  <c r="P213" i="30"/>
  <c r="O213" i="30"/>
  <c r="P32" i="30"/>
  <c r="T32" i="30" s="1"/>
  <c r="U32" i="30" s="1"/>
  <c r="O32" i="30"/>
  <c r="P3" i="30"/>
  <c r="T3" i="30" s="1"/>
  <c r="U3" i="30" s="1"/>
  <c r="O3" i="30"/>
  <c r="P219" i="30"/>
  <c r="T219" i="30" s="1"/>
  <c r="U219" i="30" s="1"/>
  <c r="O219" i="30"/>
  <c r="P293" i="30"/>
  <c r="O293" i="30"/>
  <c r="P229" i="30"/>
  <c r="O229" i="30"/>
  <c r="P211" i="30"/>
  <c r="T211" i="30" s="1"/>
  <c r="U211" i="30" s="1"/>
  <c r="O211" i="30"/>
  <c r="P181" i="30"/>
  <c r="O181" i="30"/>
  <c r="P150" i="30"/>
  <c r="O150" i="30"/>
  <c r="P74" i="30"/>
  <c r="O74" i="30"/>
  <c r="P269" i="30"/>
  <c r="O269" i="30"/>
  <c r="P63" i="30"/>
  <c r="O63" i="30"/>
  <c r="P143" i="30"/>
  <c r="O143" i="30"/>
  <c r="P108" i="30"/>
  <c r="O108" i="30"/>
  <c r="P5" i="30"/>
  <c r="O5" i="30"/>
  <c r="P22" i="30"/>
  <c r="T22" i="30" s="1"/>
  <c r="U22" i="30" s="1"/>
  <c r="O22" i="30"/>
  <c r="P72" i="30"/>
  <c r="O72" i="30"/>
  <c r="P196" i="30"/>
  <c r="T196" i="30" s="1"/>
  <c r="U196" i="30" s="1"/>
  <c r="O196" i="30"/>
  <c r="P16" i="30"/>
  <c r="O16" i="30"/>
  <c r="P212" i="30"/>
  <c r="O212" i="30"/>
  <c r="P138" i="30"/>
  <c r="O138" i="30"/>
  <c r="P8" i="30"/>
  <c r="T8" i="30" s="1"/>
  <c r="U8" i="30" s="1"/>
  <c r="O8" i="30"/>
  <c r="P105" i="30"/>
  <c r="O105" i="30"/>
  <c r="P124" i="30"/>
  <c r="O124" i="30"/>
  <c r="P151" i="30"/>
  <c r="O151" i="30"/>
  <c r="P99" i="30"/>
  <c r="O99" i="30"/>
  <c r="P7" i="30"/>
  <c r="O7" i="30"/>
  <c r="P66" i="30"/>
  <c r="O66" i="30"/>
  <c r="P61" i="30"/>
  <c r="O61" i="30"/>
  <c r="P71" i="30"/>
  <c r="O71" i="30"/>
  <c r="P90" i="30"/>
  <c r="O90" i="30"/>
  <c r="P227" i="30"/>
  <c r="T227" i="30" s="1"/>
  <c r="U227" i="30" s="1"/>
  <c r="O227" i="30"/>
  <c r="P114" i="30"/>
  <c r="T114" i="30" s="1"/>
  <c r="U114" i="30" s="1"/>
  <c r="O114" i="30"/>
  <c r="P31" i="30"/>
  <c r="T31" i="30" s="1"/>
  <c r="U31" i="30" s="1"/>
  <c r="O31" i="30"/>
  <c r="P235" i="30"/>
  <c r="O235" i="30"/>
  <c r="P300" i="30"/>
  <c r="O300" i="30"/>
  <c r="P78" i="30"/>
  <c r="O78" i="30"/>
  <c r="P161" i="30"/>
  <c r="O161" i="30"/>
  <c r="P305" i="30"/>
  <c r="O305" i="30"/>
  <c r="P307" i="30"/>
  <c r="O307" i="30"/>
  <c r="P205" i="30"/>
  <c r="O205" i="30"/>
  <c r="P135" i="30"/>
  <c r="O135" i="30"/>
  <c r="P28" i="30"/>
  <c r="O28" i="30"/>
  <c r="P9" i="30"/>
  <c r="O9" i="30"/>
  <c r="P20" i="30"/>
  <c r="O20" i="30"/>
  <c r="P19" i="30"/>
  <c r="O19" i="30"/>
  <c r="P49" i="30"/>
  <c r="O49" i="30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2" i="2"/>
  <c r="T305" i="30" l="1"/>
  <c r="U305" i="30" s="1"/>
  <c r="T231" i="30"/>
  <c r="U231" i="30" s="1"/>
  <c r="T105" i="30"/>
  <c r="U105" i="30" s="1"/>
  <c r="T254" i="30"/>
  <c r="U254" i="30" s="1"/>
  <c r="T182" i="30"/>
  <c r="U182" i="30" s="1"/>
  <c r="T49" i="30"/>
  <c r="T124" i="30"/>
  <c r="U124" i="30" s="1"/>
  <c r="T30" i="30"/>
  <c r="U30" i="30" s="1"/>
  <c r="T133" i="30"/>
  <c r="U133" i="30" s="1"/>
  <c r="T93" i="30"/>
  <c r="U93" i="30" s="1"/>
  <c r="T60" i="30"/>
  <c r="U60" i="30" s="1"/>
  <c r="T220" i="30"/>
  <c r="U220" i="30" s="1"/>
  <c r="T33" i="30"/>
  <c r="U33" i="30" s="1"/>
  <c r="T141" i="30"/>
  <c r="U141" i="30" s="1"/>
  <c r="T270" i="30"/>
  <c r="U270" i="30" s="1"/>
  <c r="T189" i="30"/>
  <c r="U189" i="30" s="1"/>
  <c r="T36" i="30"/>
  <c r="U36" i="30" s="1"/>
  <c r="T278" i="30"/>
  <c r="U278" i="30" s="1"/>
  <c r="T221" i="30"/>
  <c r="U221" i="30" s="1"/>
  <c r="T229" i="30"/>
  <c r="U229" i="30" s="1"/>
  <c r="T293" i="30"/>
  <c r="U293" i="30" s="1"/>
  <c r="T56" i="30"/>
  <c r="U56" i="30" s="1"/>
  <c r="T191" i="30"/>
  <c r="U191" i="30" s="1"/>
  <c r="T186" i="30"/>
  <c r="U186" i="30" s="1"/>
  <c r="T171" i="30"/>
  <c r="U171" i="30" s="1"/>
  <c r="T98" i="30"/>
  <c r="U98" i="30" s="1"/>
  <c r="T297" i="30"/>
  <c r="U297" i="30" s="1"/>
  <c r="T164" i="30"/>
  <c r="U164" i="30" s="1"/>
  <c r="T300" i="30"/>
  <c r="U300" i="30" s="1"/>
  <c r="T132" i="30"/>
  <c r="U132" i="30" s="1"/>
  <c r="T217" i="30"/>
  <c r="U217" i="30" s="1"/>
  <c r="T271" i="30"/>
  <c r="U271" i="30" s="1"/>
  <c r="T126" i="30"/>
  <c r="U126" i="30" s="1"/>
  <c r="T223" i="30"/>
  <c r="U223" i="30" s="1"/>
  <c r="T294" i="30"/>
  <c r="U294" i="30" s="1"/>
  <c r="T72" i="30"/>
  <c r="U72" i="30" s="1"/>
  <c r="T298" i="30"/>
  <c r="U298" i="30" s="1"/>
  <c r="T207" i="30"/>
  <c r="U207" i="30" s="1"/>
  <c r="T302" i="30"/>
  <c r="U302" i="30" s="1"/>
  <c r="T198" i="30"/>
  <c r="U198" i="30" s="1"/>
  <c r="T35" i="30"/>
  <c r="U35" i="30" s="1"/>
  <c r="T101" i="30"/>
  <c r="U101" i="30" s="1"/>
  <c r="T148" i="30"/>
  <c r="U148" i="30" s="1"/>
  <c r="T216" i="30"/>
  <c r="U216" i="30" s="1"/>
  <c r="T139" i="30"/>
  <c r="U139" i="30" s="1"/>
  <c r="T240" i="30"/>
  <c r="U240" i="30" s="1"/>
  <c r="T318" i="30"/>
  <c r="U318" i="30" s="1"/>
  <c r="T266" i="30"/>
  <c r="U266" i="30" s="1"/>
  <c r="T194" i="30"/>
  <c r="U194" i="30" s="1"/>
  <c r="T204" i="30"/>
  <c r="U204" i="30" s="1"/>
  <c r="T232" i="30"/>
  <c r="U232" i="30" s="1"/>
  <c r="T197" i="30"/>
  <c r="U197" i="30" s="1"/>
  <c r="T57" i="30"/>
  <c r="U57" i="30" s="1"/>
  <c r="T264" i="30"/>
  <c r="U264" i="30" s="1"/>
  <c r="T12" i="30"/>
  <c r="U12" i="30" s="1"/>
  <c r="T96" i="30"/>
  <c r="U96" i="30" s="1"/>
  <c r="T319" i="30"/>
  <c r="U319" i="30" s="1"/>
  <c r="T255" i="30"/>
  <c r="U255" i="30" s="1"/>
  <c r="T244" i="30"/>
  <c r="U244" i="30" s="1"/>
  <c r="T155" i="30"/>
  <c r="U155" i="30" s="1"/>
  <c r="U49" i="30"/>
  <c r="T87" i="30"/>
  <c r="U87" i="30" s="1"/>
  <c r="T150" i="30"/>
  <c r="U150" i="30" s="1"/>
  <c r="T173" i="30"/>
  <c r="U173" i="30" s="1"/>
  <c r="T152" i="30"/>
  <c r="U152" i="30" s="1"/>
  <c r="T226" i="30"/>
  <c r="U226" i="30" s="1"/>
  <c r="T281" i="30"/>
  <c r="U281" i="30" s="1"/>
  <c r="T247" i="30"/>
  <c r="U247" i="30" s="1"/>
  <c r="T149" i="30"/>
  <c r="U149" i="30" s="1"/>
  <c r="T97" i="30"/>
  <c r="U97" i="30" s="1"/>
  <c r="T64" i="30"/>
  <c r="U64" i="30" s="1"/>
  <c r="T179" i="30"/>
  <c r="U179" i="30" s="1"/>
  <c r="T74" i="30"/>
  <c r="U74" i="30" s="1"/>
  <c r="T99" i="30"/>
  <c r="U99" i="30" s="1"/>
  <c r="T135" i="30"/>
  <c r="U135" i="30" s="1"/>
  <c r="T102" i="30"/>
  <c r="U102" i="30" s="1"/>
  <c r="T151" i="30"/>
  <c r="U151" i="30" s="1"/>
  <c r="T2" i="30"/>
  <c r="U2" i="30" s="1"/>
  <c r="T290" i="30"/>
  <c r="U290" i="30" s="1"/>
  <c r="T174" i="30"/>
  <c r="U174" i="30" s="1"/>
  <c r="T103" i="30"/>
  <c r="U103" i="30" s="1"/>
  <c r="T81" i="30"/>
  <c r="U81" i="30" s="1"/>
  <c r="T140" i="30"/>
  <c r="U140" i="30" s="1"/>
  <c r="T83" i="30"/>
  <c r="U83" i="30" s="1"/>
  <c r="T259" i="30"/>
  <c r="U259" i="30" s="1"/>
  <c r="T100" i="30"/>
  <c r="U100" i="30" s="1"/>
  <c r="T253" i="30"/>
  <c r="U253" i="30" s="1"/>
  <c r="T121" i="30"/>
  <c r="U121" i="30" s="1"/>
  <c r="T89" i="30"/>
  <c r="U89" i="30" s="1"/>
  <c r="T10" i="30"/>
  <c r="U10" i="30" s="1"/>
  <c r="T21" i="30"/>
  <c r="U21" i="30" s="1"/>
  <c r="T192" i="30"/>
  <c r="U192" i="30" s="1"/>
  <c r="T86" i="30"/>
  <c r="U86" i="30" s="1"/>
  <c r="T67" i="30"/>
  <c r="U67" i="30" s="1"/>
  <c r="T236" i="30"/>
  <c r="U236" i="30" s="1"/>
  <c r="T66" i="30"/>
  <c r="U66" i="30" s="1"/>
  <c r="T9" i="30"/>
  <c r="U9" i="30" s="1"/>
  <c r="T245" i="30"/>
  <c r="U245" i="30" s="1"/>
  <c r="T117" i="30"/>
  <c r="U117" i="30" s="1"/>
  <c r="T91" i="30"/>
  <c r="U91" i="30" s="1"/>
  <c r="T122" i="30"/>
  <c r="U122" i="30" s="1"/>
  <c r="T312" i="30"/>
  <c r="U312" i="30" s="1"/>
  <c r="T61" i="30"/>
  <c r="U61" i="30" s="1"/>
  <c r="T251" i="30"/>
  <c r="U251" i="30" s="1"/>
  <c r="T27" i="30"/>
  <c r="U27" i="30" s="1"/>
  <c r="T137" i="30"/>
  <c r="U137" i="30" s="1"/>
  <c r="T54" i="30"/>
  <c r="U54" i="30" s="1"/>
  <c r="T291" i="30"/>
  <c r="U291" i="30" s="1"/>
  <c r="T71" i="30"/>
  <c r="U71" i="30" s="1"/>
  <c r="T11" i="30"/>
  <c r="U11" i="30" s="1"/>
  <c r="T214" i="30"/>
  <c r="U214" i="30" s="1"/>
  <c r="T258" i="30"/>
  <c r="U258" i="30" s="1"/>
  <c r="T283" i="30"/>
  <c r="U283" i="30" s="1"/>
  <c r="T28" i="30"/>
  <c r="U28" i="30" s="1"/>
  <c r="T313" i="30"/>
  <c r="U313" i="30" s="1"/>
  <c r="T167" i="30"/>
  <c r="U167" i="30" s="1"/>
  <c r="T309" i="30"/>
  <c r="U309" i="30" s="1"/>
  <c r="T153" i="30"/>
  <c r="U153" i="30" s="1"/>
  <c r="T246" i="30"/>
  <c r="U246" i="30" s="1"/>
  <c r="T263" i="30"/>
  <c r="U263" i="30" s="1"/>
  <c r="T147" i="30"/>
  <c r="U147" i="30" s="1"/>
  <c r="T237" i="30"/>
  <c r="U237" i="30" s="1"/>
  <c r="T222" i="30"/>
  <c r="U222" i="30" s="1"/>
  <c r="T176" i="30"/>
  <c r="U176" i="30" s="1"/>
  <c r="T303" i="30"/>
  <c r="U303" i="30" s="1"/>
  <c r="T215" i="30"/>
  <c r="U215" i="30" s="1"/>
  <c r="T250" i="30"/>
  <c r="U250" i="30" s="1"/>
  <c r="T180" i="30"/>
  <c r="U180" i="30" s="1"/>
  <c r="T42" i="30"/>
  <c r="U42" i="30" s="1"/>
  <c r="T234" i="30"/>
  <c r="U234" i="30" s="1"/>
  <c r="T34" i="30"/>
  <c r="U34" i="30" s="1"/>
  <c r="T53" i="30"/>
  <c r="U53" i="30" s="1"/>
  <c r="T184" i="30"/>
  <c r="U184" i="30" s="1"/>
  <c r="T274" i="30"/>
  <c r="U274" i="30" s="1"/>
  <c r="T113" i="30"/>
  <c r="U113" i="30" s="1"/>
  <c r="T55" i="30"/>
  <c r="U55" i="30" s="1"/>
  <c r="T62" i="30"/>
  <c r="U62" i="30" s="1"/>
  <c r="T5" i="30"/>
  <c r="U5" i="30" s="1"/>
  <c r="T90" i="30"/>
  <c r="U90" i="30" s="1"/>
  <c r="T37" i="30"/>
  <c r="U37" i="30" s="1"/>
  <c r="T41" i="30"/>
  <c r="U41" i="30" s="1"/>
  <c r="T17" i="30"/>
  <c r="U17" i="30" s="1"/>
  <c r="T68" i="30"/>
  <c r="U68" i="30" s="1"/>
  <c r="T76" i="30"/>
  <c r="U76" i="30" s="1"/>
  <c r="T29" i="30"/>
  <c r="U29" i="30" s="1"/>
  <c r="T187" i="30"/>
  <c r="U187" i="30" s="1"/>
  <c r="T24" i="30"/>
  <c r="U24" i="30" s="1"/>
  <c r="T177" i="30"/>
  <c r="U177" i="30" s="1"/>
  <c r="T273" i="30"/>
  <c r="U273" i="30" s="1"/>
  <c r="T144" i="30"/>
  <c r="U144" i="30" s="1"/>
  <c r="T268" i="30"/>
  <c r="U268" i="30" s="1"/>
  <c r="T296" i="30"/>
  <c r="U296" i="30" s="1"/>
  <c r="T248" i="30"/>
  <c r="U248" i="30" s="1"/>
  <c r="T94" i="30"/>
  <c r="U94" i="30" s="1"/>
  <c r="T285" i="30"/>
  <c r="U285" i="30" s="1"/>
  <c r="T16" i="30"/>
  <c r="U16" i="30" s="1"/>
  <c r="T235" i="30"/>
  <c r="U235" i="30" s="1"/>
  <c r="T311" i="30"/>
  <c r="U311" i="30" s="1"/>
  <c r="T238" i="30"/>
  <c r="U238" i="30" s="1"/>
  <c r="T18" i="30"/>
  <c r="U18" i="30" s="1"/>
  <c r="T118" i="30"/>
  <c r="U118" i="30" s="1"/>
  <c r="T287" i="30"/>
  <c r="U287" i="30" s="1"/>
  <c r="T241" i="30"/>
  <c r="U241" i="30" s="1"/>
  <c r="T136" i="30"/>
  <c r="U136" i="30" s="1"/>
  <c r="T228" i="30"/>
  <c r="U228" i="30" s="1"/>
  <c r="T175" i="30"/>
  <c r="U175" i="30" s="1"/>
  <c r="T168" i="30"/>
  <c r="U168" i="30" s="1"/>
  <c r="T13" i="30"/>
  <c r="U13" i="30" s="1"/>
  <c r="T188" i="30"/>
  <c r="U188" i="30" s="1"/>
  <c r="T45" i="30"/>
  <c r="U45" i="30" s="1"/>
  <c r="T65" i="30"/>
  <c r="U65" i="30" s="1"/>
  <c r="T212" i="30"/>
  <c r="U212" i="30" s="1"/>
  <c r="T111" i="30"/>
  <c r="U111" i="30" s="1"/>
  <c r="T129" i="30"/>
  <c r="U129" i="30" s="1"/>
  <c r="T242" i="30"/>
  <c r="U242" i="30" s="1"/>
  <c r="T233" i="30"/>
  <c r="U233" i="30" s="1"/>
  <c r="T193" i="30"/>
  <c r="U193" i="30" s="1"/>
  <c r="T116" i="30"/>
  <c r="U116" i="30" s="1"/>
  <c r="T243" i="30"/>
  <c r="U243" i="30" s="1"/>
  <c r="T286" i="30"/>
  <c r="U286" i="30" s="1"/>
  <c r="T51" i="30"/>
  <c r="U51" i="30" s="1"/>
  <c r="T292" i="30"/>
  <c r="U292" i="30" s="1"/>
  <c r="T260" i="30"/>
  <c r="U260" i="30" s="1"/>
  <c r="T316" i="30"/>
  <c r="U316" i="30" s="1"/>
  <c r="T289" i="30"/>
  <c r="U289" i="30" s="1"/>
  <c r="T84" i="30"/>
  <c r="U84" i="30" s="1"/>
  <c r="T138" i="30"/>
  <c r="U138" i="30" s="1"/>
  <c r="T78" i="30"/>
  <c r="U78" i="30" s="1"/>
  <c r="T79" i="30"/>
  <c r="U79" i="30" s="1"/>
  <c r="T161" i="30"/>
  <c r="U161" i="30" s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P2" i="2"/>
  <c r="O2" i="2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" i="3"/>
  <c r="Q310" i="3"/>
  <c r="Q305" i="3"/>
  <c r="Q319" i="3"/>
  <c r="Q300" i="3"/>
  <c r="Q233" i="3"/>
  <c r="Q171" i="3"/>
  <c r="Q38" i="3"/>
  <c r="Q53" i="3"/>
  <c r="Q220" i="3"/>
  <c r="Q284" i="3"/>
  <c r="Q89" i="3"/>
  <c r="Q86" i="3"/>
  <c r="Q273" i="3"/>
  <c r="Q175" i="3"/>
  <c r="Q99" i="3"/>
  <c r="Q191" i="3"/>
  <c r="Q198" i="3"/>
  <c r="Q228" i="3"/>
  <c r="Q187" i="3"/>
  <c r="Q313" i="3"/>
  <c r="Q153" i="3"/>
  <c r="Q126" i="3"/>
  <c r="Q135" i="3"/>
  <c r="Q176" i="3"/>
  <c r="Q307" i="3"/>
  <c r="Q123" i="3"/>
  <c r="Q77" i="3"/>
  <c r="Q302" i="3"/>
  <c r="Q139" i="3"/>
  <c r="Q256" i="3"/>
  <c r="Q298" i="3"/>
  <c r="Q318" i="3"/>
  <c r="Q276" i="3"/>
  <c r="Q181" i="3"/>
  <c r="Q231" i="3"/>
  <c r="Q37" i="3"/>
  <c r="Q223" i="3"/>
  <c r="Q121" i="3"/>
  <c r="Q131" i="3"/>
  <c r="Q95" i="3"/>
  <c r="Q83" i="3"/>
  <c r="Q30" i="3"/>
  <c r="Q116" i="3"/>
  <c r="Q320" i="3"/>
  <c r="Q255" i="3"/>
  <c r="Q97" i="3"/>
  <c r="Q127" i="3"/>
  <c r="Q229" i="3"/>
  <c r="Q70" i="3"/>
  <c r="Q74" i="3"/>
  <c r="Q49" i="3"/>
  <c r="Q315" i="3"/>
  <c r="Q54" i="3"/>
  <c r="Q58" i="3"/>
  <c r="Q286" i="3"/>
  <c r="Q268" i="3"/>
  <c r="Q277" i="3"/>
  <c r="Q299" i="3"/>
  <c r="Q314" i="3"/>
  <c r="Q40" i="3"/>
  <c r="Q64" i="3"/>
  <c r="Q200" i="3"/>
  <c r="Q69" i="3"/>
  <c r="Q271" i="3"/>
  <c r="Q222" i="3"/>
  <c r="Q321" i="3"/>
  <c r="Q137" i="3"/>
  <c r="Q57" i="3"/>
  <c r="Q259" i="3"/>
  <c r="Q141" i="3"/>
  <c r="Q85" i="3"/>
  <c r="Q90" i="3"/>
  <c r="Q304" i="3"/>
  <c r="Q25" i="3"/>
  <c r="Q251" i="3"/>
  <c r="Q240" i="3"/>
  <c r="Q61" i="3"/>
  <c r="Q32" i="3"/>
  <c r="Q227" i="3"/>
  <c r="Q152" i="3"/>
  <c r="Q12" i="3"/>
  <c r="Q6" i="3"/>
  <c r="Q63" i="3"/>
  <c r="Q101" i="3"/>
  <c r="Q244" i="3"/>
  <c r="Q184" i="3"/>
  <c r="Q210" i="3"/>
  <c r="Q66" i="3"/>
  <c r="Q316" i="3"/>
  <c r="Q65" i="3"/>
  <c r="Q48" i="3"/>
  <c r="Q167" i="3"/>
  <c r="Q28" i="3"/>
  <c r="Q11" i="3"/>
  <c r="Q196" i="3"/>
  <c r="Q138" i="3"/>
  <c r="Q5" i="3"/>
  <c r="Q143" i="3"/>
  <c r="Q34" i="3"/>
  <c r="Q31" i="3"/>
  <c r="Q238" i="3"/>
  <c r="Q51" i="3"/>
  <c r="Q3" i="3"/>
  <c r="Q105" i="3"/>
  <c r="Q204" i="3"/>
  <c r="Q17" i="3"/>
  <c r="Q173" i="3"/>
  <c r="Q80" i="3"/>
  <c r="Q71" i="3"/>
  <c r="Q162" i="3"/>
  <c r="Q2" i="3"/>
  <c r="Q26" i="3"/>
  <c r="Q24" i="3"/>
  <c r="Q257" i="3"/>
  <c r="Q230" i="3"/>
  <c r="Q144" i="3"/>
  <c r="Q4" i="3"/>
  <c r="Q281" i="3"/>
  <c r="Q128" i="3"/>
  <c r="Q294" i="3"/>
  <c r="Q117" i="3"/>
  <c r="Q278" i="3"/>
  <c r="Q308" i="3"/>
  <c r="Q19" i="3"/>
  <c r="Q211" i="3"/>
  <c r="Q42" i="3"/>
  <c r="Q169" i="3"/>
  <c r="Q179" i="3"/>
  <c r="Q188" i="3"/>
  <c r="Q311" i="3"/>
  <c r="Q234" i="3"/>
  <c r="Q283" i="3"/>
  <c r="Q293" i="3"/>
  <c r="Q247" i="3"/>
  <c r="Q225" i="3"/>
  <c r="Q303" i="3"/>
  <c r="Q67" i="3"/>
  <c r="Q39" i="3"/>
  <c r="Q76" i="3"/>
  <c r="Q43" i="3"/>
  <c r="Q108" i="3"/>
  <c r="Q88" i="3"/>
  <c r="Q140" i="3"/>
  <c r="Q252" i="3"/>
  <c r="Q261" i="3"/>
  <c r="Q190" i="3"/>
  <c r="Q172" i="3"/>
  <c r="Q224" i="3"/>
  <c r="Q78" i="3"/>
  <c r="Q56" i="3"/>
  <c r="Q50" i="3"/>
  <c r="Q207" i="3"/>
  <c r="Q157" i="3"/>
  <c r="Q262" i="3"/>
  <c r="Q189" i="3"/>
  <c r="Q161" i="3"/>
  <c r="Q203" i="3"/>
  <c r="Q9" i="3"/>
  <c r="Q20" i="3"/>
  <c r="Q269" i="3"/>
  <c r="Q23" i="3"/>
  <c r="Q159" i="3"/>
  <c r="Q221" i="3"/>
  <c r="Q46" i="3"/>
  <c r="Q194" i="3"/>
  <c r="Q134" i="3"/>
  <c r="Q92" i="3"/>
  <c r="Q254" i="3"/>
  <c r="Q290" i="3"/>
  <c r="Q62" i="3"/>
  <c r="Q180" i="3"/>
  <c r="Q118" i="3"/>
  <c r="Q253" i="3"/>
  <c r="Q202" i="3"/>
  <c r="Q206" i="3"/>
  <c r="Q160" i="3"/>
  <c r="Q44" i="3"/>
  <c r="Q112" i="3"/>
  <c r="Q41" i="3"/>
  <c r="Q174" i="3"/>
  <c r="Q129" i="3"/>
  <c r="Q182" i="3"/>
  <c r="Q165" i="3"/>
  <c r="Q219" i="3"/>
  <c r="Q122" i="3"/>
  <c r="Q52" i="3"/>
  <c r="Q163" i="3"/>
  <c r="Q102" i="3"/>
  <c r="Q197" i="3"/>
  <c r="Q246" i="3"/>
  <c r="Q285" i="3"/>
  <c r="Q250" i="3"/>
  <c r="Q148" i="3"/>
  <c r="Q168" i="3"/>
  <c r="Q295" i="3"/>
  <c r="Q27" i="3"/>
  <c r="Q258" i="3"/>
  <c r="Q248" i="3"/>
  <c r="Q10" i="3"/>
  <c r="Q267" i="3"/>
  <c r="Q8" i="3"/>
  <c r="Q306" i="3"/>
  <c r="Q270" i="3"/>
  <c r="Q195" i="3"/>
  <c r="Q22" i="3"/>
  <c r="Q263" i="3"/>
  <c r="Q296" i="3"/>
  <c r="Q218" i="3"/>
  <c r="Q309" i="3"/>
  <c r="Q272" i="3"/>
  <c r="Q214" i="3"/>
  <c r="Q73" i="3"/>
  <c r="Q45" i="3"/>
  <c r="Q166" i="3"/>
  <c r="Q94" i="3"/>
  <c r="Q110" i="3"/>
  <c r="Q241" i="3"/>
  <c r="Q84" i="3"/>
  <c r="Q193" i="3"/>
  <c r="Q212" i="3"/>
  <c r="Q213" i="3"/>
  <c r="Q215" i="3"/>
  <c r="Q279" i="3"/>
  <c r="Q96" i="3"/>
  <c r="Q109" i="3"/>
  <c r="Q217" i="3"/>
  <c r="Q72" i="3"/>
  <c r="Q289" i="3"/>
  <c r="Q60" i="3"/>
  <c r="Q265" i="3"/>
  <c r="Q119" i="3"/>
  <c r="Q47" i="3"/>
  <c r="Q14" i="3"/>
  <c r="Q114" i="3"/>
  <c r="Q136" i="3"/>
  <c r="Q275" i="3"/>
  <c r="Q142" i="3"/>
  <c r="Q124" i="3"/>
  <c r="Q79" i="3"/>
  <c r="Q154" i="3"/>
  <c r="Q113" i="3"/>
  <c r="Q170" i="3"/>
  <c r="Q237" i="3"/>
  <c r="Q145" i="3"/>
  <c r="Q199" i="3"/>
  <c r="Q274" i="3"/>
  <c r="Q226" i="3"/>
  <c r="Q130" i="3"/>
  <c r="Q242" i="3"/>
  <c r="Q149" i="3"/>
  <c r="Q103" i="3"/>
  <c r="Q208" i="3"/>
  <c r="Q21" i="3"/>
  <c r="Q93" i="3"/>
  <c r="Q288" i="3"/>
  <c r="Q7" i="3"/>
  <c r="Q59" i="3"/>
  <c r="Q82" i="3"/>
  <c r="Q29" i="3"/>
  <c r="Q151" i="3"/>
  <c r="Q158" i="3"/>
  <c r="Q33" i="3"/>
  <c r="Q104" i="3"/>
  <c r="Q232" i="3"/>
  <c r="Q98" i="3"/>
  <c r="Q132" i="3"/>
  <c r="Q87" i="3"/>
  <c r="Q292" i="3"/>
  <c r="Q35" i="3"/>
  <c r="Q150" i="3"/>
  <c r="Q287" i="3"/>
  <c r="Q186" i="3"/>
  <c r="Q106" i="3"/>
  <c r="Q236" i="3"/>
  <c r="Q18" i="3"/>
  <c r="Q301" i="3"/>
  <c r="Q75" i="3"/>
  <c r="Q91" i="3"/>
  <c r="Q216" i="3"/>
  <c r="Q291" i="3"/>
  <c r="Q266" i="3"/>
  <c r="Q125" i="3"/>
  <c r="Q185" i="3"/>
  <c r="Q205" i="3"/>
  <c r="Q111" i="3"/>
  <c r="Q146" i="3"/>
  <c r="Q164" i="3"/>
  <c r="Q81" i="3"/>
  <c r="Q243" i="3"/>
  <c r="Q15" i="3"/>
  <c r="Q192" i="3"/>
  <c r="Q249" i="3"/>
  <c r="Q147" i="3"/>
  <c r="Q178" i="3"/>
  <c r="Q107" i="3"/>
  <c r="Q177" i="3"/>
  <c r="Q16" i="3"/>
  <c r="Q239" i="3"/>
  <c r="Q312" i="3"/>
  <c r="Q235" i="3"/>
  <c r="Q133" i="3"/>
  <c r="Q156" i="3"/>
  <c r="Q13" i="3"/>
  <c r="Q36" i="3"/>
  <c r="Q317" i="3"/>
  <c r="Q55" i="3"/>
  <c r="Q280" i="3"/>
  <c r="Q201" i="3"/>
  <c r="Q260" i="3"/>
  <c r="Q183" i="3"/>
  <c r="Q115" i="3"/>
  <c r="Q100" i="3"/>
  <c r="Q245" i="3"/>
  <c r="Q120" i="3"/>
  <c r="Q68" i="3"/>
  <c r="Q297" i="3"/>
  <c r="Q155" i="3"/>
  <c r="Q209" i="3"/>
  <c r="Q264" i="3"/>
  <c r="O310" i="3"/>
  <c r="O305" i="3"/>
  <c r="O319" i="3"/>
  <c r="O300" i="3"/>
  <c r="O233" i="3"/>
  <c r="O171" i="3"/>
  <c r="O38" i="3"/>
  <c r="O53" i="3"/>
  <c r="O220" i="3"/>
  <c r="O284" i="3"/>
  <c r="O89" i="3"/>
  <c r="O86" i="3"/>
  <c r="O273" i="3"/>
  <c r="O175" i="3"/>
  <c r="O99" i="3"/>
  <c r="O191" i="3"/>
  <c r="O198" i="3"/>
  <c r="O228" i="3"/>
  <c r="O187" i="3"/>
  <c r="O313" i="3"/>
  <c r="O153" i="3"/>
  <c r="O126" i="3"/>
  <c r="O135" i="3"/>
  <c r="O176" i="3"/>
  <c r="O307" i="3"/>
  <c r="O123" i="3"/>
  <c r="O77" i="3"/>
  <c r="O302" i="3"/>
  <c r="O139" i="3"/>
  <c r="O256" i="3"/>
  <c r="O298" i="3"/>
  <c r="O318" i="3"/>
  <c r="O276" i="3"/>
  <c r="O181" i="3"/>
  <c r="O231" i="3"/>
  <c r="O37" i="3"/>
  <c r="O223" i="3"/>
  <c r="O121" i="3"/>
  <c r="O131" i="3"/>
  <c r="O95" i="3"/>
  <c r="O83" i="3"/>
  <c r="O30" i="3"/>
  <c r="O116" i="3"/>
  <c r="O320" i="3"/>
  <c r="O255" i="3"/>
  <c r="O97" i="3"/>
  <c r="O127" i="3"/>
  <c r="O229" i="3"/>
  <c r="O70" i="3"/>
  <c r="O74" i="3"/>
  <c r="O49" i="3"/>
  <c r="O315" i="3"/>
  <c r="O54" i="3"/>
  <c r="O58" i="3"/>
  <c r="O286" i="3"/>
  <c r="O268" i="3"/>
  <c r="O277" i="3"/>
  <c r="O299" i="3"/>
  <c r="O314" i="3"/>
  <c r="O40" i="3"/>
  <c r="O64" i="3"/>
  <c r="O200" i="3"/>
  <c r="O69" i="3"/>
  <c r="O271" i="3"/>
  <c r="O222" i="3"/>
  <c r="O321" i="3"/>
  <c r="O137" i="3"/>
  <c r="O57" i="3"/>
  <c r="O259" i="3"/>
  <c r="O141" i="3"/>
  <c r="O85" i="3"/>
  <c r="O90" i="3"/>
  <c r="O304" i="3"/>
  <c r="O25" i="3"/>
  <c r="O251" i="3"/>
  <c r="O240" i="3"/>
  <c r="O61" i="3"/>
  <c r="O32" i="3"/>
  <c r="O227" i="3"/>
  <c r="O152" i="3"/>
  <c r="O12" i="3"/>
  <c r="O6" i="3"/>
  <c r="O63" i="3"/>
  <c r="O101" i="3"/>
  <c r="O244" i="3"/>
  <c r="O184" i="3"/>
  <c r="O210" i="3"/>
  <c r="O66" i="3"/>
  <c r="O316" i="3"/>
  <c r="O65" i="3"/>
  <c r="O48" i="3"/>
  <c r="O167" i="3"/>
  <c r="O28" i="3"/>
  <c r="O11" i="3"/>
  <c r="O196" i="3"/>
  <c r="O138" i="3"/>
  <c r="O5" i="3"/>
  <c r="O143" i="3"/>
  <c r="O34" i="3"/>
  <c r="O31" i="3"/>
  <c r="O238" i="3"/>
  <c r="O51" i="3"/>
  <c r="O3" i="3"/>
  <c r="O105" i="3"/>
  <c r="O204" i="3"/>
  <c r="O17" i="3"/>
  <c r="O173" i="3"/>
  <c r="O80" i="3"/>
  <c r="O71" i="3"/>
  <c r="O162" i="3"/>
  <c r="O2" i="3"/>
  <c r="O26" i="3"/>
  <c r="O24" i="3"/>
  <c r="O257" i="3"/>
  <c r="O230" i="3"/>
  <c r="O144" i="3"/>
  <c r="O4" i="3"/>
  <c r="O281" i="3"/>
  <c r="O128" i="3"/>
  <c r="O294" i="3"/>
  <c r="O117" i="3"/>
  <c r="O278" i="3"/>
  <c r="O308" i="3"/>
  <c r="O19" i="3"/>
  <c r="O211" i="3"/>
  <c r="O42" i="3"/>
  <c r="O169" i="3"/>
  <c r="O179" i="3"/>
  <c r="O188" i="3"/>
  <c r="O311" i="3"/>
  <c r="O234" i="3"/>
  <c r="O283" i="3"/>
  <c r="O293" i="3"/>
  <c r="O247" i="3"/>
  <c r="O225" i="3"/>
  <c r="O303" i="3"/>
  <c r="O67" i="3"/>
  <c r="O39" i="3"/>
  <c r="O76" i="3"/>
  <c r="O43" i="3"/>
  <c r="O108" i="3"/>
  <c r="O88" i="3"/>
  <c r="O140" i="3"/>
  <c r="O252" i="3"/>
  <c r="O261" i="3"/>
  <c r="O190" i="3"/>
  <c r="O172" i="3"/>
  <c r="O224" i="3"/>
  <c r="O78" i="3"/>
  <c r="O56" i="3"/>
  <c r="O50" i="3"/>
  <c r="O207" i="3"/>
  <c r="O157" i="3"/>
  <c r="O262" i="3"/>
  <c r="O189" i="3"/>
  <c r="O161" i="3"/>
  <c r="O203" i="3"/>
  <c r="O9" i="3"/>
  <c r="O20" i="3"/>
  <c r="O269" i="3"/>
  <c r="O23" i="3"/>
  <c r="O159" i="3"/>
  <c r="O221" i="3"/>
  <c r="O46" i="3"/>
  <c r="O194" i="3"/>
  <c r="O134" i="3"/>
  <c r="O92" i="3"/>
  <c r="O254" i="3"/>
  <c r="O290" i="3"/>
  <c r="O62" i="3"/>
  <c r="O180" i="3"/>
  <c r="O118" i="3"/>
  <c r="O253" i="3"/>
  <c r="O202" i="3"/>
  <c r="O206" i="3"/>
  <c r="O160" i="3"/>
  <c r="O44" i="3"/>
  <c r="O112" i="3"/>
  <c r="O41" i="3"/>
  <c r="O174" i="3"/>
  <c r="O129" i="3"/>
  <c r="O182" i="3"/>
  <c r="O165" i="3"/>
  <c r="O219" i="3"/>
  <c r="O122" i="3"/>
  <c r="O52" i="3"/>
  <c r="O163" i="3"/>
  <c r="O102" i="3"/>
  <c r="O197" i="3"/>
  <c r="O246" i="3"/>
  <c r="O285" i="3"/>
  <c r="O250" i="3"/>
  <c r="O148" i="3"/>
  <c r="O168" i="3"/>
  <c r="O295" i="3"/>
  <c r="O27" i="3"/>
  <c r="O258" i="3"/>
  <c r="O248" i="3"/>
  <c r="O10" i="3"/>
  <c r="O267" i="3"/>
  <c r="O8" i="3"/>
  <c r="O306" i="3"/>
  <c r="O270" i="3"/>
  <c r="O195" i="3"/>
  <c r="O22" i="3"/>
  <c r="O263" i="3"/>
  <c r="O296" i="3"/>
  <c r="O218" i="3"/>
  <c r="O309" i="3"/>
  <c r="O272" i="3"/>
  <c r="O214" i="3"/>
  <c r="O73" i="3"/>
  <c r="O45" i="3"/>
  <c r="O166" i="3"/>
  <c r="O94" i="3"/>
  <c r="O110" i="3"/>
  <c r="O241" i="3"/>
  <c r="O84" i="3"/>
  <c r="O193" i="3"/>
  <c r="O212" i="3"/>
  <c r="O213" i="3"/>
  <c r="O215" i="3"/>
  <c r="O279" i="3"/>
  <c r="O96" i="3"/>
  <c r="O109" i="3"/>
  <c r="O217" i="3"/>
  <c r="O72" i="3"/>
  <c r="O289" i="3"/>
  <c r="O60" i="3"/>
  <c r="O265" i="3"/>
  <c r="O119" i="3"/>
  <c r="O47" i="3"/>
  <c r="O14" i="3"/>
  <c r="O114" i="3"/>
  <c r="O136" i="3"/>
  <c r="O275" i="3"/>
  <c r="O142" i="3"/>
  <c r="O124" i="3"/>
  <c r="O79" i="3"/>
  <c r="O154" i="3"/>
  <c r="O113" i="3"/>
  <c r="O170" i="3"/>
  <c r="O237" i="3"/>
  <c r="O145" i="3"/>
  <c r="O199" i="3"/>
  <c r="O274" i="3"/>
  <c r="O226" i="3"/>
  <c r="O130" i="3"/>
  <c r="O242" i="3"/>
  <c r="O149" i="3"/>
  <c r="O103" i="3"/>
  <c r="O208" i="3"/>
  <c r="O21" i="3"/>
  <c r="O93" i="3"/>
  <c r="O288" i="3"/>
  <c r="O7" i="3"/>
  <c r="O59" i="3"/>
  <c r="O82" i="3"/>
  <c r="O29" i="3"/>
  <c r="O151" i="3"/>
  <c r="O158" i="3"/>
  <c r="O33" i="3"/>
  <c r="O104" i="3"/>
  <c r="O232" i="3"/>
  <c r="O98" i="3"/>
  <c r="O132" i="3"/>
  <c r="O87" i="3"/>
  <c r="O292" i="3"/>
  <c r="O35" i="3"/>
  <c r="O150" i="3"/>
  <c r="O287" i="3"/>
  <c r="O186" i="3"/>
  <c r="O106" i="3"/>
  <c r="O236" i="3"/>
  <c r="O18" i="3"/>
  <c r="O301" i="3"/>
  <c r="O75" i="3"/>
  <c r="O91" i="3"/>
  <c r="O216" i="3"/>
  <c r="O291" i="3"/>
  <c r="O266" i="3"/>
  <c r="O125" i="3"/>
  <c r="O185" i="3"/>
  <c r="O205" i="3"/>
  <c r="O111" i="3"/>
  <c r="O146" i="3"/>
  <c r="O164" i="3"/>
  <c r="O81" i="3"/>
  <c r="O243" i="3"/>
  <c r="O15" i="3"/>
  <c r="O192" i="3"/>
  <c r="O249" i="3"/>
  <c r="O147" i="3"/>
  <c r="O178" i="3"/>
  <c r="O107" i="3"/>
  <c r="O177" i="3"/>
  <c r="O16" i="3"/>
  <c r="O239" i="3"/>
  <c r="O312" i="3"/>
  <c r="O235" i="3"/>
  <c r="O133" i="3"/>
  <c r="O156" i="3"/>
  <c r="O13" i="3"/>
  <c r="O36" i="3"/>
  <c r="O317" i="3"/>
  <c r="O55" i="3"/>
  <c r="O280" i="3"/>
  <c r="O201" i="3"/>
  <c r="O260" i="3"/>
  <c r="O183" i="3"/>
  <c r="O115" i="3"/>
  <c r="O100" i="3"/>
  <c r="O245" i="3"/>
  <c r="O120" i="3"/>
  <c r="O68" i="3"/>
  <c r="O297" i="3"/>
  <c r="O155" i="3"/>
  <c r="O209" i="3"/>
  <c r="O264" i="3"/>
  <c r="Q282" i="3"/>
  <c r="P282" i="3"/>
  <c r="O282" i="3"/>
</calcChain>
</file>

<file path=xl/sharedStrings.xml><?xml version="1.0" encoding="utf-8"?>
<sst xmlns="http://schemas.openxmlformats.org/spreadsheetml/2006/main" count="4094" uniqueCount="197">
  <si>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</si>
  <si>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</si>
  <si>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</si>
  <si>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</si>
  <si>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</si>
  <si>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</si>
  <si>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</si>
  <si>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</si>
  <si>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</si>
  <si>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</si>
  <si>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</si>
  <si>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</si>
  <si>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</si>
  <si>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</si>
  <si>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</si>
  <si>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</si>
  <si>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</si>
  <si>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</si>
  <si>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</si>
  <si>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</si>
  <si>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</si>
  <si>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</si>
  <si>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</si>
  <si>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</si>
  <si>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</si>
  <si>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</si>
  <si>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</si>
  <si>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</si>
  <si>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</si>
  <si>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</si>
  <si>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</si>
  <si>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</si>
  <si>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</si>
  <si>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</si>
  <si>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</si>
  <si>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</si>
  <si>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</si>
  <si>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</si>
  <si>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</si>
  <si>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</si>
  <si>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</si>
  <si>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</si>
  <si>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</si>
  <si>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</si>
  <si>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</si>
  <si>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</si>
  <si>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</si>
  <si>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</si>
  <si>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</si>
  <si>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</si>
  <si>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</si>
  <si>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</si>
  <si>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</si>
  <si>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</si>
  <si>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</si>
  <si>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</si>
  <si>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</si>
  <si>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</si>
  <si>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</si>
  <si>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</si>
  <si>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</si>
  <si>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</si>
  <si>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</si>
  <si>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</si>
  <si>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</si>
  <si>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</si>
  <si>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</si>
  <si>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</si>
  <si>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</si>
  <si>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</si>
  <si>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</si>
  <si>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</si>
  <si>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</si>
  <si>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</si>
  <si>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</si>
  <si>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</si>
  <si>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</si>
  <si>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</si>
  <si>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</si>
  <si>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</si>
  <si>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</si>
  <si>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</si>
  <si>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</si>
  <si>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</si>
  <si>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</si>
  <si>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</si>
  <si>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</si>
  <si>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</si>
  <si>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</si>
  <si>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</si>
  <si>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</si>
  <si>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</si>
  <si>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</si>
  <si>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</si>
  <si>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</si>
  <si>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</si>
  <si>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</si>
  <si>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</si>
  <si>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</si>
  <si>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</si>
  <si>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</si>
  <si>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</si>
  <si>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store_type_high_street</t>
  </si>
  <si>
    <t>store_type_mall</t>
  </si>
  <si>
    <t>store_type_airport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</si>
  <si>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</si>
  <si>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</si>
  <si>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</si>
  <si>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</si>
  <si>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</si>
  <si>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</si>
  <si>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</si>
  <si>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</si>
  <si>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</si>
  <si>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</si>
  <si>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</si>
  <si>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</si>
  <si>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</si>
  <si>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</si>
  <si>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</si>
  <si>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</si>
  <si>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</si>
  <si>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</si>
  <si>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</si>
  <si>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</si>
  <si>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</si>
  <si>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</si>
  <si>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</si>
  <si>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</si>
  <si>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</si>
  <si>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</si>
  <si>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monthly_sales</t>
  </si>
  <si>
    <t>Residuals</t>
  </si>
  <si>
    <t>clean_competitor_distance_km</t>
  </si>
  <si>
    <t>clean_customer_rating</t>
  </si>
  <si>
    <t>Region_North</t>
  </si>
  <si>
    <t>Region_South</t>
  </si>
  <si>
    <t>Region_West</t>
  </si>
  <si>
    <t>Predicted_Sales</t>
  </si>
  <si>
    <t>Rank</t>
  </si>
  <si>
    <t>Record ID</t>
  </si>
  <si>
    <t>Actual Sales</t>
  </si>
  <si>
    <t>Predicted Sales</t>
  </si>
  <si>
    <t>Interpretation</t>
  </si>
  <si>
    <t>Sales much higher than model prediction</t>
  </si>
  <si>
    <t>Store outperformed expectations</t>
  </si>
  <si>
    <t>Possible local demand spike</t>
  </si>
  <si>
    <t>STR-1081</t>
  </si>
  <si>
    <t>Better than expected performance</t>
  </si>
  <si>
    <t>STR-1095</t>
  </si>
  <si>
    <t>Hidden factors improving sales</t>
  </si>
  <si>
    <t>Top 5 Positive Residuals</t>
  </si>
  <si>
    <t>Sales much lower than predicted</t>
  </si>
  <si>
    <t>Significant underperformance</t>
  </si>
  <si>
    <t>Possible local demand weakness</t>
  </si>
  <si>
    <t>Poor performance vs prediction</t>
  </si>
  <si>
    <t>STR-1102</t>
  </si>
  <si>
    <t>Operational/business challenges</t>
  </si>
  <si>
    <t>Top 5 Negative Residuals</t>
  </si>
  <si>
    <t>Model Name</t>
  </si>
  <si>
    <t>Dependent Variable</t>
  </si>
  <si>
    <t>Independent Variables</t>
  </si>
  <si>
    <t>Significant Variables</t>
  </si>
  <si>
    <t>Weak Variables</t>
  </si>
  <si>
    <t>Business Usefulness</t>
  </si>
  <si>
    <t>Limitations</t>
  </si>
  <si>
    <t>Simple Regression 1</t>
  </si>
  <si>
    <t>Footfall</t>
  </si>
  <si>
    <t>None</t>
  </si>
  <si>
    <t>Useful for understanding customer impact on sales</t>
  </si>
  <si>
    <t>Uses only one predictor</t>
  </si>
  <si>
    <t>Simple Regression 2</t>
  </si>
  <si>
    <t>Marketing Spend</t>
  </si>
  <si>
    <t>Useful for measuring marketing impact</t>
  </si>
  <si>
    <t>Ignores operational factors</t>
  </si>
  <si>
    <t>Multiple Regression</t>
  </si>
  <si>
    <t>marketing_spend, footfall, inventory_availability_pct, staff_count, clean_customer_rating, holiday_flag, Region_North, Region_South, Region_West</t>
  </si>
  <si>
    <t>Marketing Spend, Footfall, Inventory Availability, Customer Rating, Region_South, Region_West</t>
  </si>
  <si>
    <t>Region_North, Holiday_Flag</t>
  </si>
  <si>
    <t>Best model for business decisions</t>
  </si>
  <si>
    <t>Regression shows association, not causation</t>
  </si>
  <si>
    <t>Metric</t>
  </si>
  <si>
    <t>Best Model</t>
  </si>
  <si>
    <t>Highest R Square</t>
  </si>
  <si>
    <t>Best Predictor</t>
  </si>
  <si>
    <t>Strong Business Drivers</t>
  </si>
  <si>
    <t>Marketing Spend, Footfall, Inventory Availability</t>
  </si>
  <si>
    <t>Final Recommendation</t>
  </si>
  <si>
    <t>Use Multiple Regression Model</t>
  </si>
  <si>
    <t>Conclusion</t>
  </si>
  <si>
    <t>Best Performing Model</t>
  </si>
  <si>
    <t>Why</t>
  </si>
  <si>
    <t>Highest explanatory power (R² = 0.8229)</t>
  </si>
  <si>
    <t>Leadership Focus</t>
  </si>
  <si>
    <t>Marketing, Footfall, Inventory, Customer Experience</t>
  </si>
  <si>
    <t>Caution</t>
  </si>
  <si>
    <t>Weak variables should not be over-interpreted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</si>
</sst>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7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0"/>
      <color rgb="FFFFFFFF"/>
      <name val="Carlito"/>
    </font>
    <font>
      <b/>
      <sz val="10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rgb="FF195993"/>
        <bgColor indexed="64"/>
      </patternFill>
    </fill>
    <fill>
      <patternFill patternType="solid">
        <fgColor rgb="FF227AC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0" fillId="0" borderId="1" xfId="0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2" fontId="1" fillId="2" borderId="0" xfId="0" applyNumberFormat="1" applyFont="1" applyFill="1" applyAlignment="1">
      <alignment horizontal="center" vertical="center" wrapText="1"/>
    </xf>
    <xf numFmtId="2" fontId="0" fillId="0" borderId="0" xfId="0" applyNumberFormat="1"/>
    <xf numFmtId="0" fontId="0" fillId="4" borderId="0" xfId="0" applyFill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959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marketing_spend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Dummy_Variables!$E$2:$E$321</c:f>
              <c:numCache>
                <c:formatCode>General</c:formatCode>
                <c:ptCount val="320"/>
                <c:pt idx="0">
                  <c:v>52758.01</c:v>
                </c:pt>
                <c:pt idx="1">
                  <c:v>32266.639999999999</c:v>
                </c:pt>
                <c:pt idx="2">
                  <c:v>57360.01</c:v>
                </c:pt>
                <c:pt idx="3">
                  <c:v>78839.39</c:v>
                </c:pt>
                <c:pt idx="4">
                  <c:v>72731.14</c:v>
                </c:pt>
                <c:pt idx="5">
                  <c:v>65272.58</c:v>
                </c:pt>
                <c:pt idx="6">
                  <c:v>78111.97</c:v>
                </c:pt>
                <c:pt idx="7">
                  <c:v>56918.16</c:v>
                </c:pt>
                <c:pt idx="8">
                  <c:v>61391.8</c:v>
                </c:pt>
                <c:pt idx="9">
                  <c:v>86421.88</c:v>
                </c:pt>
                <c:pt idx="10">
                  <c:v>60628.38</c:v>
                </c:pt>
                <c:pt idx="11">
                  <c:v>31997.25</c:v>
                </c:pt>
                <c:pt idx="12">
                  <c:v>61650.79</c:v>
                </c:pt>
                <c:pt idx="13">
                  <c:v>56737.3</c:v>
                </c:pt>
                <c:pt idx="14">
                  <c:v>55477.61</c:v>
                </c:pt>
                <c:pt idx="15">
                  <c:v>64294.23</c:v>
                </c:pt>
                <c:pt idx="16">
                  <c:v>38297.58</c:v>
                </c:pt>
                <c:pt idx="17">
                  <c:v>61541.21</c:v>
                </c:pt>
                <c:pt idx="18">
                  <c:v>23254.57</c:v>
                </c:pt>
                <c:pt idx="19">
                  <c:v>63582.11</c:v>
                </c:pt>
                <c:pt idx="20">
                  <c:v>54300.87</c:v>
                </c:pt>
                <c:pt idx="21">
                  <c:v>48438.85</c:v>
                </c:pt>
                <c:pt idx="22">
                  <c:v>80176.34</c:v>
                </c:pt>
                <c:pt idx="23">
                  <c:v>70144.78</c:v>
                </c:pt>
                <c:pt idx="24">
                  <c:v>61426.04</c:v>
                </c:pt>
                <c:pt idx="25">
                  <c:v>71851.45</c:v>
                </c:pt>
                <c:pt idx="26">
                  <c:v>67439.3</c:v>
                </c:pt>
                <c:pt idx="27">
                  <c:v>38397.82</c:v>
                </c:pt>
                <c:pt idx="28">
                  <c:v>68077.539999999994</c:v>
                </c:pt>
                <c:pt idx="29">
                  <c:v>53084.76</c:v>
                </c:pt>
                <c:pt idx="30">
                  <c:v>80562.81</c:v>
                </c:pt>
                <c:pt idx="31">
                  <c:v>51450.55</c:v>
                </c:pt>
                <c:pt idx="32">
                  <c:v>55101.1</c:v>
                </c:pt>
                <c:pt idx="33">
                  <c:v>23914.97</c:v>
                </c:pt>
                <c:pt idx="34">
                  <c:v>54948.02</c:v>
                </c:pt>
                <c:pt idx="35">
                  <c:v>75269.87</c:v>
                </c:pt>
                <c:pt idx="36">
                  <c:v>68148.52</c:v>
                </c:pt>
                <c:pt idx="37">
                  <c:v>69779</c:v>
                </c:pt>
                <c:pt idx="38">
                  <c:v>74907.98</c:v>
                </c:pt>
                <c:pt idx="39">
                  <c:v>74881.56</c:v>
                </c:pt>
                <c:pt idx="40">
                  <c:v>56517.9</c:v>
                </c:pt>
                <c:pt idx="41">
                  <c:v>51430.31</c:v>
                </c:pt>
                <c:pt idx="42">
                  <c:v>29389.32</c:v>
                </c:pt>
                <c:pt idx="43">
                  <c:v>41819.449999999997</c:v>
                </c:pt>
                <c:pt idx="44">
                  <c:v>72150.53</c:v>
                </c:pt>
                <c:pt idx="45">
                  <c:v>47241.919999999998</c:v>
                </c:pt>
                <c:pt idx="46">
                  <c:v>31207.51</c:v>
                </c:pt>
                <c:pt idx="47">
                  <c:v>65312.49</c:v>
                </c:pt>
                <c:pt idx="48">
                  <c:v>71855.09</c:v>
                </c:pt>
                <c:pt idx="49">
                  <c:v>90084.4</c:v>
                </c:pt>
                <c:pt idx="50">
                  <c:v>48031.74</c:v>
                </c:pt>
                <c:pt idx="51">
                  <c:v>71838.86</c:v>
                </c:pt>
                <c:pt idx="52">
                  <c:v>99874.01</c:v>
                </c:pt>
                <c:pt idx="53">
                  <c:v>22387.26</c:v>
                </c:pt>
                <c:pt idx="54">
                  <c:v>47093.55</c:v>
                </c:pt>
                <c:pt idx="55">
                  <c:v>70937.240000000005</c:v>
                </c:pt>
                <c:pt idx="56">
                  <c:v>81195.5</c:v>
                </c:pt>
                <c:pt idx="57">
                  <c:v>28670.43</c:v>
                </c:pt>
                <c:pt idx="58">
                  <c:v>113736</c:v>
                </c:pt>
                <c:pt idx="59">
                  <c:v>54872.82</c:v>
                </c:pt>
                <c:pt idx="60">
                  <c:v>50825.08</c:v>
                </c:pt>
                <c:pt idx="61">
                  <c:v>36475.71</c:v>
                </c:pt>
                <c:pt idx="62">
                  <c:v>37284.660000000003</c:v>
                </c:pt>
                <c:pt idx="63">
                  <c:v>82116.19</c:v>
                </c:pt>
                <c:pt idx="64">
                  <c:v>50517.94</c:v>
                </c:pt>
                <c:pt idx="65">
                  <c:v>75109.67</c:v>
                </c:pt>
                <c:pt idx="66">
                  <c:v>66456.28</c:v>
                </c:pt>
                <c:pt idx="67">
                  <c:v>74954.47</c:v>
                </c:pt>
                <c:pt idx="68">
                  <c:v>49710.29</c:v>
                </c:pt>
                <c:pt idx="69">
                  <c:v>69411.7</c:v>
                </c:pt>
                <c:pt idx="70">
                  <c:v>39341.449999999997</c:v>
                </c:pt>
                <c:pt idx="71">
                  <c:v>50887.46</c:v>
                </c:pt>
                <c:pt idx="72">
                  <c:v>48287.85</c:v>
                </c:pt>
                <c:pt idx="73">
                  <c:v>36832.33</c:v>
                </c:pt>
                <c:pt idx="74">
                  <c:v>44211.95</c:v>
                </c:pt>
                <c:pt idx="75">
                  <c:v>52715.1</c:v>
                </c:pt>
                <c:pt idx="76">
                  <c:v>43319.94</c:v>
                </c:pt>
                <c:pt idx="77">
                  <c:v>26248.1</c:v>
                </c:pt>
                <c:pt idx="78">
                  <c:v>75265.02</c:v>
                </c:pt>
                <c:pt idx="79">
                  <c:v>70012.41</c:v>
                </c:pt>
                <c:pt idx="80">
                  <c:v>44189.34</c:v>
                </c:pt>
                <c:pt idx="81">
                  <c:v>46123.88</c:v>
                </c:pt>
                <c:pt idx="82">
                  <c:v>58785.33</c:v>
                </c:pt>
                <c:pt idx="83">
                  <c:v>55081.16</c:v>
                </c:pt>
                <c:pt idx="84">
                  <c:v>71828.259999999995</c:v>
                </c:pt>
                <c:pt idx="85">
                  <c:v>67722.289999999994</c:v>
                </c:pt>
                <c:pt idx="86">
                  <c:v>44034.6</c:v>
                </c:pt>
                <c:pt idx="87">
                  <c:v>67979.88</c:v>
                </c:pt>
                <c:pt idx="88">
                  <c:v>46201.46</c:v>
                </c:pt>
                <c:pt idx="89">
                  <c:v>48609.41</c:v>
                </c:pt>
                <c:pt idx="90">
                  <c:v>78432.14</c:v>
                </c:pt>
                <c:pt idx="91">
                  <c:v>75412.740000000005</c:v>
                </c:pt>
                <c:pt idx="92">
                  <c:v>47391.09</c:v>
                </c:pt>
                <c:pt idx="93">
                  <c:v>40462.94</c:v>
                </c:pt>
                <c:pt idx="94">
                  <c:v>68212.289999999994</c:v>
                </c:pt>
                <c:pt idx="95">
                  <c:v>50043.65</c:v>
                </c:pt>
                <c:pt idx="96">
                  <c:v>73454.539999999994</c:v>
                </c:pt>
                <c:pt idx="97">
                  <c:v>75305.710000000006</c:v>
                </c:pt>
                <c:pt idx="98">
                  <c:v>78967.520000000004</c:v>
                </c:pt>
                <c:pt idx="99">
                  <c:v>55388.11</c:v>
                </c:pt>
                <c:pt idx="100">
                  <c:v>71641.899999999994</c:v>
                </c:pt>
                <c:pt idx="101">
                  <c:v>97480.94</c:v>
                </c:pt>
                <c:pt idx="102">
                  <c:v>58688.26</c:v>
                </c:pt>
                <c:pt idx="103">
                  <c:v>57919.07</c:v>
                </c:pt>
                <c:pt idx="104">
                  <c:v>17562.57</c:v>
                </c:pt>
                <c:pt idx="105">
                  <c:v>27398.28</c:v>
                </c:pt>
                <c:pt idx="106">
                  <c:v>45706.49</c:v>
                </c:pt>
                <c:pt idx="107">
                  <c:v>57225.98</c:v>
                </c:pt>
                <c:pt idx="108">
                  <c:v>69180.539999999994</c:v>
                </c:pt>
                <c:pt idx="109">
                  <c:v>74539.14</c:v>
                </c:pt>
                <c:pt idx="110">
                  <c:v>40535.089999999997</c:v>
                </c:pt>
                <c:pt idx="111">
                  <c:v>51781.599999999999</c:v>
                </c:pt>
                <c:pt idx="112">
                  <c:v>62582.71</c:v>
                </c:pt>
                <c:pt idx="113">
                  <c:v>86026.58</c:v>
                </c:pt>
                <c:pt idx="114">
                  <c:v>64882.14</c:v>
                </c:pt>
                <c:pt idx="115">
                  <c:v>83044.17</c:v>
                </c:pt>
                <c:pt idx="116">
                  <c:v>65237.79</c:v>
                </c:pt>
                <c:pt idx="117">
                  <c:v>25818.080000000002</c:v>
                </c:pt>
                <c:pt idx="118">
                  <c:v>62507.16</c:v>
                </c:pt>
                <c:pt idx="119">
                  <c:v>93381.26</c:v>
                </c:pt>
                <c:pt idx="120">
                  <c:v>57147.88</c:v>
                </c:pt>
                <c:pt idx="121">
                  <c:v>55270.52</c:v>
                </c:pt>
                <c:pt idx="122">
                  <c:v>59060.05</c:v>
                </c:pt>
                <c:pt idx="123">
                  <c:v>66104.19</c:v>
                </c:pt>
                <c:pt idx="124">
                  <c:v>42267.37</c:v>
                </c:pt>
                <c:pt idx="125">
                  <c:v>42093.84</c:v>
                </c:pt>
                <c:pt idx="126">
                  <c:v>54968.98</c:v>
                </c:pt>
                <c:pt idx="127">
                  <c:v>45209.25</c:v>
                </c:pt>
                <c:pt idx="128">
                  <c:v>40923.67</c:v>
                </c:pt>
                <c:pt idx="129">
                  <c:v>65012.19</c:v>
                </c:pt>
                <c:pt idx="130">
                  <c:v>56602.39</c:v>
                </c:pt>
                <c:pt idx="131">
                  <c:v>63986.98</c:v>
                </c:pt>
                <c:pt idx="132">
                  <c:v>30301.86</c:v>
                </c:pt>
                <c:pt idx="133">
                  <c:v>62060.43</c:v>
                </c:pt>
                <c:pt idx="134">
                  <c:v>47944.14</c:v>
                </c:pt>
                <c:pt idx="135">
                  <c:v>42018.400000000001</c:v>
                </c:pt>
                <c:pt idx="136">
                  <c:v>61132.07</c:v>
                </c:pt>
                <c:pt idx="137">
                  <c:v>63176.73</c:v>
                </c:pt>
                <c:pt idx="138">
                  <c:v>50198.12</c:v>
                </c:pt>
                <c:pt idx="139">
                  <c:v>60571.82</c:v>
                </c:pt>
                <c:pt idx="140">
                  <c:v>72961.95</c:v>
                </c:pt>
                <c:pt idx="141">
                  <c:v>38752.800000000003</c:v>
                </c:pt>
                <c:pt idx="142">
                  <c:v>43685.14</c:v>
                </c:pt>
                <c:pt idx="143">
                  <c:v>76942.2</c:v>
                </c:pt>
                <c:pt idx="144">
                  <c:v>55371.97</c:v>
                </c:pt>
                <c:pt idx="145">
                  <c:v>40102.879999999997</c:v>
                </c:pt>
                <c:pt idx="146">
                  <c:v>51133.43</c:v>
                </c:pt>
                <c:pt idx="147">
                  <c:v>38361.93</c:v>
                </c:pt>
                <c:pt idx="148">
                  <c:v>61995.3</c:v>
                </c:pt>
                <c:pt idx="149">
                  <c:v>14519.37</c:v>
                </c:pt>
                <c:pt idx="150">
                  <c:v>60881.01</c:v>
                </c:pt>
                <c:pt idx="151">
                  <c:v>33518.879999999997</c:v>
                </c:pt>
                <c:pt idx="152">
                  <c:v>69900.12</c:v>
                </c:pt>
                <c:pt idx="153">
                  <c:v>24088.06</c:v>
                </c:pt>
                <c:pt idx="154">
                  <c:v>52843.75</c:v>
                </c:pt>
                <c:pt idx="155">
                  <c:v>64374.75</c:v>
                </c:pt>
                <c:pt idx="156">
                  <c:v>43288.2</c:v>
                </c:pt>
                <c:pt idx="157">
                  <c:v>57143.3</c:v>
                </c:pt>
                <c:pt idx="158">
                  <c:v>67494.09</c:v>
                </c:pt>
                <c:pt idx="159">
                  <c:v>86883.31</c:v>
                </c:pt>
                <c:pt idx="160">
                  <c:v>51056.15</c:v>
                </c:pt>
                <c:pt idx="161">
                  <c:v>72784.800000000003</c:v>
                </c:pt>
                <c:pt idx="162">
                  <c:v>40928.69</c:v>
                </c:pt>
                <c:pt idx="163">
                  <c:v>57948.88</c:v>
                </c:pt>
                <c:pt idx="164">
                  <c:v>35296.54</c:v>
                </c:pt>
                <c:pt idx="165">
                  <c:v>38966.589999999997</c:v>
                </c:pt>
                <c:pt idx="166">
                  <c:v>40220.18</c:v>
                </c:pt>
                <c:pt idx="167">
                  <c:v>37828.5</c:v>
                </c:pt>
                <c:pt idx="168">
                  <c:v>70799.64</c:v>
                </c:pt>
                <c:pt idx="169">
                  <c:v>46213.45</c:v>
                </c:pt>
                <c:pt idx="170">
                  <c:v>60322.400000000001</c:v>
                </c:pt>
                <c:pt idx="171">
                  <c:v>31042.03</c:v>
                </c:pt>
                <c:pt idx="172">
                  <c:v>68491.11</c:v>
                </c:pt>
                <c:pt idx="173">
                  <c:v>59909.51</c:v>
                </c:pt>
                <c:pt idx="174">
                  <c:v>57696.69</c:v>
                </c:pt>
                <c:pt idx="175">
                  <c:v>55599.56</c:v>
                </c:pt>
                <c:pt idx="176">
                  <c:v>59825.51</c:v>
                </c:pt>
                <c:pt idx="177">
                  <c:v>66250.53</c:v>
                </c:pt>
                <c:pt idx="178">
                  <c:v>36606.51</c:v>
                </c:pt>
                <c:pt idx="179">
                  <c:v>74413.88</c:v>
                </c:pt>
                <c:pt idx="180">
                  <c:v>63010.23</c:v>
                </c:pt>
                <c:pt idx="181">
                  <c:v>54322.94</c:v>
                </c:pt>
                <c:pt idx="182">
                  <c:v>78231.91</c:v>
                </c:pt>
                <c:pt idx="183">
                  <c:v>18599.21</c:v>
                </c:pt>
                <c:pt idx="184">
                  <c:v>50532.17</c:v>
                </c:pt>
                <c:pt idx="185">
                  <c:v>41441.93</c:v>
                </c:pt>
                <c:pt idx="186">
                  <c:v>68410.929999999993</c:v>
                </c:pt>
                <c:pt idx="187">
                  <c:v>42698.14</c:v>
                </c:pt>
                <c:pt idx="188">
                  <c:v>53351.7</c:v>
                </c:pt>
                <c:pt idx="189">
                  <c:v>48804.22</c:v>
                </c:pt>
                <c:pt idx="190">
                  <c:v>54080.91</c:v>
                </c:pt>
                <c:pt idx="191">
                  <c:v>16451.849999999999</c:v>
                </c:pt>
                <c:pt idx="192">
                  <c:v>35303.300000000003</c:v>
                </c:pt>
                <c:pt idx="193">
                  <c:v>92090.14</c:v>
                </c:pt>
                <c:pt idx="194">
                  <c:v>9534.65</c:v>
                </c:pt>
                <c:pt idx="195">
                  <c:v>55788.61</c:v>
                </c:pt>
                <c:pt idx="196">
                  <c:v>59117.9</c:v>
                </c:pt>
                <c:pt idx="197">
                  <c:v>48060.78</c:v>
                </c:pt>
                <c:pt idx="198">
                  <c:v>50343.19</c:v>
                </c:pt>
                <c:pt idx="199">
                  <c:v>48465.599999999999</c:v>
                </c:pt>
                <c:pt idx="200">
                  <c:v>68040.149999999994</c:v>
                </c:pt>
                <c:pt idx="201">
                  <c:v>41863.08</c:v>
                </c:pt>
                <c:pt idx="202">
                  <c:v>74679.350000000006</c:v>
                </c:pt>
                <c:pt idx="203">
                  <c:v>60183.06</c:v>
                </c:pt>
                <c:pt idx="204">
                  <c:v>63043.94</c:v>
                </c:pt>
                <c:pt idx="205">
                  <c:v>75645.23</c:v>
                </c:pt>
                <c:pt idx="206">
                  <c:v>81801.8</c:v>
                </c:pt>
                <c:pt idx="207">
                  <c:v>81902.58</c:v>
                </c:pt>
                <c:pt idx="208">
                  <c:v>18996.32</c:v>
                </c:pt>
                <c:pt idx="209">
                  <c:v>44747</c:v>
                </c:pt>
                <c:pt idx="210">
                  <c:v>53367.73</c:v>
                </c:pt>
                <c:pt idx="211">
                  <c:v>27194.639999999999</c:v>
                </c:pt>
                <c:pt idx="212">
                  <c:v>49405.75</c:v>
                </c:pt>
                <c:pt idx="213">
                  <c:v>66962.740000000005</c:v>
                </c:pt>
                <c:pt idx="214">
                  <c:v>70284.06</c:v>
                </c:pt>
                <c:pt idx="215">
                  <c:v>42932.02</c:v>
                </c:pt>
                <c:pt idx="216">
                  <c:v>63457.19</c:v>
                </c:pt>
                <c:pt idx="217">
                  <c:v>71941.62</c:v>
                </c:pt>
                <c:pt idx="218">
                  <c:v>68133.440000000002</c:v>
                </c:pt>
                <c:pt idx="219">
                  <c:v>66870.62</c:v>
                </c:pt>
                <c:pt idx="220">
                  <c:v>51148.69</c:v>
                </c:pt>
                <c:pt idx="221">
                  <c:v>61245.41</c:v>
                </c:pt>
                <c:pt idx="222">
                  <c:v>51575.68</c:v>
                </c:pt>
                <c:pt idx="223">
                  <c:v>70366.759999999995</c:v>
                </c:pt>
                <c:pt idx="224">
                  <c:v>21536.18</c:v>
                </c:pt>
                <c:pt idx="225">
                  <c:v>77999.899999999994</c:v>
                </c:pt>
                <c:pt idx="226">
                  <c:v>78831.12</c:v>
                </c:pt>
                <c:pt idx="227">
                  <c:v>46624.05</c:v>
                </c:pt>
                <c:pt idx="228">
                  <c:v>25990.54</c:v>
                </c:pt>
                <c:pt idx="229">
                  <c:v>52483.77</c:v>
                </c:pt>
                <c:pt idx="230">
                  <c:v>58981.91</c:v>
                </c:pt>
                <c:pt idx="231">
                  <c:v>64811.21</c:v>
                </c:pt>
                <c:pt idx="232">
                  <c:v>66455.8</c:v>
                </c:pt>
                <c:pt idx="233">
                  <c:v>40647.67</c:v>
                </c:pt>
                <c:pt idx="234">
                  <c:v>47648.71</c:v>
                </c:pt>
                <c:pt idx="235">
                  <c:v>53546.34</c:v>
                </c:pt>
                <c:pt idx="236">
                  <c:v>63101.59</c:v>
                </c:pt>
                <c:pt idx="237">
                  <c:v>46174.7</c:v>
                </c:pt>
                <c:pt idx="238">
                  <c:v>56973.18</c:v>
                </c:pt>
                <c:pt idx="239">
                  <c:v>33987.33</c:v>
                </c:pt>
                <c:pt idx="240">
                  <c:v>72932.55</c:v>
                </c:pt>
                <c:pt idx="241">
                  <c:v>68909.259999999995</c:v>
                </c:pt>
                <c:pt idx="242">
                  <c:v>88443.77</c:v>
                </c:pt>
                <c:pt idx="243">
                  <c:v>46767.99</c:v>
                </c:pt>
                <c:pt idx="244">
                  <c:v>37705.879999999997</c:v>
                </c:pt>
                <c:pt idx="245">
                  <c:v>52285.45</c:v>
                </c:pt>
                <c:pt idx="246">
                  <c:v>54479.33</c:v>
                </c:pt>
                <c:pt idx="247">
                  <c:v>51996.32</c:v>
                </c:pt>
                <c:pt idx="248">
                  <c:v>81796.740000000005</c:v>
                </c:pt>
                <c:pt idx="249">
                  <c:v>58749.63</c:v>
                </c:pt>
                <c:pt idx="250">
                  <c:v>70488.2</c:v>
                </c:pt>
                <c:pt idx="251">
                  <c:v>43645.98</c:v>
                </c:pt>
                <c:pt idx="252">
                  <c:v>62059.18</c:v>
                </c:pt>
                <c:pt idx="253">
                  <c:v>63630.21</c:v>
                </c:pt>
                <c:pt idx="254">
                  <c:v>44970.080000000002</c:v>
                </c:pt>
                <c:pt idx="255">
                  <c:v>33605.18</c:v>
                </c:pt>
                <c:pt idx="256">
                  <c:v>54002.83</c:v>
                </c:pt>
                <c:pt idx="257">
                  <c:v>36813.449999999997</c:v>
                </c:pt>
                <c:pt idx="258">
                  <c:v>23702.38</c:v>
                </c:pt>
                <c:pt idx="259">
                  <c:v>50909.27</c:v>
                </c:pt>
                <c:pt idx="260">
                  <c:v>61433.84</c:v>
                </c:pt>
                <c:pt idx="261">
                  <c:v>37983.35</c:v>
                </c:pt>
                <c:pt idx="262">
                  <c:v>40553.11</c:v>
                </c:pt>
                <c:pt idx="263">
                  <c:v>33173.949999999997</c:v>
                </c:pt>
                <c:pt idx="264">
                  <c:v>34771.26</c:v>
                </c:pt>
                <c:pt idx="265">
                  <c:v>22312.93</c:v>
                </c:pt>
                <c:pt idx="266">
                  <c:v>19365.060000000001</c:v>
                </c:pt>
                <c:pt idx="267">
                  <c:v>41443.410000000003</c:v>
                </c:pt>
                <c:pt idx="268">
                  <c:v>64104.28</c:v>
                </c:pt>
                <c:pt idx="269">
                  <c:v>70040.31</c:v>
                </c:pt>
                <c:pt idx="270">
                  <c:v>107970.19</c:v>
                </c:pt>
                <c:pt idx="271">
                  <c:v>55716.82</c:v>
                </c:pt>
                <c:pt idx="272">
                  <c:v>57390.04</c:v>
                </c:pt>
                <c:pt idx="273">
                  <c:v>46495.4</c:v>
                </c:pt>
                <c:pt idx="274">
                  <c:v>73771.91</c:v>
                </c:pt>
                <c:pt idx="275">
                  <c:v>59405.68</c:v>
                </c:pt>
                <c:pt idx="276">
                  <c:v>48396.13</c:v>
                </c:pt>
                <c:pt idx="277">
                  <c:v>73540.990000000005</c:v>
                </c:pt>
                <c:pt idx="278">
                  <c:v>60684.05</c:v>
                </c:pt>
                <c:pt idx="279">
                  <c:v>42415.47</c:v>
                </c:pt>
                <c:pt idx="280">
                  <c:v>70389.11</c:v>
                </c:pt>
                <c:pt idx="281">
                  <c:v>70276.28</c:v>
                </c:pt>
                <c:pt idx="282">
                  <c:v>34285.21</c:v>
                </c:pt>
                <c:pt idx="283">
                  <c:v>54966.18</c:v>
                </c:pt>
                <c:pt idx="284">
                  <c:v>27808.6</c:v>
                </c:pt>
                <c:pt idx="285">
                  <c:v>29344.93</c:v>
                </c:pt>
                <c:pt idx="286">
                  <c:v>36290.080000000002</c:v>
                </c:pt>
                <c:pt idx="287">
                  <c:v>37324.230000000003</c:v>
                </c:pt>
                <c:pt idx="288">
                  <c:v>32834.480000000003</c:v>
                </c:pt>
                <c:pt idx="289">
                  <c:v>45940.39</c:v>
                </c:pt>
                <c:pt idx="290">
                  <c:v>48752.92</c:v>
                </c:pt>
                <c:pt idx="291">
                  <c:v>22071.64</c:v>
                </c:pt>
                <c:pt idx="292">
                  <c:v>43896.13</c:v>
                </c:pt>
                <c:pt idx="293">
                  <c:v>41657.64</c:v>
                </c:pt>
                <c:pt idx="294">
                  <c:v>56413.83</c:v>
                </c:pt>
                <c:pt idx="295">
                  <c:v>76614.320000000007</c:v>
                </c:pt>
                <c:pt idx="296">
                  <c:v>69816.350000000006</c:v>
                </c:pt>
                <c:pt idx="297">
                  <c:v>118910.48</c:v>
                </c:pt>
                <c:pt idx="298">
                  <c:v>48412.639999999999</c:v>
                </c:pt>
                <c:pt idx="299">
                  <c:v>61784.11</c:v>
                </c:pt>
                <c:pt idx="300">
                  <c:v>68600.62</c:v>
                </c:pt>
                <c:pt idx="301">
                  <c:v>71320.66</c:v>
                </c:pt>
                <c:pt idx="302">
                  <c:v>53762.92</c:v>
                </c:pt>
                <c:pt idx="303">
                  <c:v>59921.75</c:v>
                </c:pt>
                <c:pt idx="304">
                  <c:v>35203.230000000003</c:v>
                </c:pt>
                <c:pt idx="305">
                  <c:v>172415.52</c:v>
                </c:pt>
                <c:pt idx="306">
                  <c:v>19063.48</c:v>
                </c:pt>
                <c:pt idx="307">
                  <c:v>62949.7</c:v>
                </c:pt>
                <c:pt idx="308">
                  <c:v>43827.89</c:v>
                </c:pt>
                <c:pt idx="309">
                  <c:v>50735.63</c:v>
                </c:pt>
                <c:pt idx="310">
                  <c:v>24362.98</c:v>
                </c:pt>
                <c:pt idx="311">
                  <c:v>30356.28</c:v>
                </c:pt>
                <c:pt idx="312">
                  <c:v>52952.12</c:v>
                </c:pt>
                <c:pt idx="313">
                  <c:v>53015.46</c:v>
                </c:pt>
                <c:pt idx="314">
                  <c:v>141540.29</c:v>
                </c:pt>
                <c:pt idx="315">
                  <c:v>46146.239999999998</c:v>
                </c:pt>
                <c:pt idx="316">
                  <c:v>54597.83</c:v>
                </c:pt>
                <c:pt idx="317">
                  <c:v>56856.63</c:v>
                </c:pt>
                <c:pt idx="318">
                  <c:v>138855.51</c:v>
                </c:pt>
                <c:pt idx="319">
                  <c:v>79346.100000000006</c:v>
                </c:pt>
              </c:numCache>
            </c:numRef>
          </c:xVal>
          <c:yVal>
            <c:numRef>
              <c:f>Simple_Regression_Marketing!$C$25:$C$344</c:f>
              <c:numCache>
                <c:formatCode>General</c:formatCode>
                <c:ptCount val="320"/>
                <c:pt idx="0">
                  <c:v>40481.658121825312</c:v>
                </c:pt>
                <c:pt idx="1">
                  <c:v>-3977.5458976601949</c:v>
                </c:pt>
                <c:pt idx="2">
                  <c:v>137589.23246425693</c:v>
                </c:pt>
                <c:pt idx="3">
                  <c:v>6837.6347643304616</c:v>
                </c:pt>
                <c:pt idx="4">
                  <c:v>11578.073259080993</c:v>
                </c:pt>
                <c:pt idx="5">
                  <c:v>140327.8986144294</c:v>
                </c:pt>
                <c:pt idx="6">
                  <c:v>60592.840449125855</c:v>
                </c:pt>
                <c:pt idx="7">
                  <c:v>42227.215322752367</c:v>
                </c:pt>
                <c:pt idx="8">
                  <c:v>44270.831954233465</c:v>
                </c:pt>
                <c:pt idx="9">
                  <c:v>93431.071138633764</c:v>
                </c:pt>
                <c:pt idx="10">
                  <c:v>-7682.0376491778297</c:v>
                </c:pt>
                <c:pt idx="11">
                  <c:v>151663.05039983906</c:v>
                </c:pt>
                <c:pt idx="12">
                  <c:v>31237.763240140979</c:v>
                </c:pt>
                <c:pt idx="13">
                  <c:v>131713.01031650032</c:v>
                </c:pt>
                <c:pt idx="14">
                  <c:v>84241.35506091197</c:v>
                </c:pt>
                <c:pt idx="15">
                  <c:v>97457.088636176893</c:v>
                </c:pt>
                <c:pt idx="16">
                  <c:v>44402.943076165044</c:v>
                </c:pt>
                <c:pt idx="17">
                  <c:v>222710.18210453831</c:v>
                </c:pt>
                <c:pt idx="18">
                  <c:v>10673.326024852227</c:v>
                </c:pt>
                <c:pt idx="19">
                  <c:v>102866.70181846013</c:v>
                </c:pt>
                <c:pt idx="20">
                  <c:v>119049.33153189998</c:v>
                </c:pt>
                <c:pt idx="21">
                  <c:v>114367.35469373816</c:v>
                </c:pt>
                <c:pt idx="22">
                  <c:v>141861.11903010926</c:v>
                </c:pt>
                <c:pt idx="23">
                  <c:v>77931.741703346255</c:v>
                </c:pt>
                <c:pt idx="24">
                  <c:v>86809.245295016794</c:v>
                </c:pt>
                <c:pt idx="25">
                  <c:v>-22342.990620991448</c:v>
                </c:pt>
                <c:pt idx="26">
                  <c:v>49079.135160634061</c:v>
                </c:pt>
                <c:pt idx="27">
                  <c:v>133561.92444532749</c:v>
                </c:pt>
                <c:pt idx="28">
                  <c:v>-48324.414996446925</c:v>
                </c:pt>
                <c:pt idx="29">
                  <c:v>-38643.990616464755</c:v>
                </c:pt>
                <c:pt idx="30">
                  <c:v>44580.252053255565</c:v>
                </c:pt>
                <c:pt idx="31">
                  <c:v>7295.4826796358684</c:v>
                </c:pt>
                <c:pt idx="32">
                  <c:v>-2941.6085324970772</c:v>
                </c:pt>
                <c:pt idx="33">
                  <c:v>127668.48447851196</c:v>
                </c:pt>
                <c:pt idx="34">
                  <c:v>50164.186858650297</c:v>
                </c:pt>
                <c:pt idx="35">
                  <c:v>99523.72648766893</c:v>
                </c:pt>
                <c:pt idx="36">
                  <c:v>144259.50774680078</c:v>
                </c:pt>
                <c:pt idx="37">
                  <c:v>49450.657766672084</c:v>
                </c:pt>
                <c:pt idx="38">
                  <c:v>29260.178502970375</c:v>
                </c:pt>
                <c:pt idx="39">
                  <c:v>177787.77188312542</c:v>
                </c:pt>
                <c:pt idx="40">
                  <c:v>161021.44914337364</c:v>
                </c:pt>
                <c:pt idx="41">
                  <c:v>45588.465284266393</c:v>
                </c:pt>
                <c:pt idx="42">
                  <c:v>160217.88378392044</c:v>
                </c:pt>
                <c:pt idx="43">
                  <c:v>155140.48561718629</c:v>
                </c:pt>
                <c:pt idx="44">
                  <c:v>111370.57599003299</c:v>
                </c:pt>
                <c:pt idx="45">
                  <c:v>-3310.4327094097389</c:v>
                </c:pt>
                <c:pt idx="46">
                  <c:v>-40928.868780950084</c:v>
                </c:pt>
                <c:pt idx="47">
                  <c:v>73949.927263105405</c:v>
                </c:pt>
                <c:pt idx="48">
                  <c:v>12049.817724816035</c:v>
                </c:pt>
                <c:pt idx="49">
                  <c:v>-12516.221090170438</c:v>
                </c:pt>
                <c:pt idx="50">
                  <c:v>102842.39610535325</c:v>
                </c:pt>
                <c:pt idx="51">
                  <c:v>216818.09073238284</c:v>
                </c:pt>
                <c:pt idx="52">
                  <c:v>-26788.823012897163</c:v>
                </c:pt>
                <c:pt idx="53">
                  <c:v>56889.788002224173</c:v>
                </c:pt>
                <c:pt idx="54">
                  <c:v>35677.542381944833</c:v>
                </c:pt>
                <c:pt idx="55">
                  <c:v>-49916.401560755563</c:v>
                </c:pt>
                <c:pt idx="56">
                  <c:v>-12836.77896075719</c:v>
                </c:pt>
                <c:pt idx="57">
                  <c:v>76054.904191171518</c:v>
                </c:pt>
                <c:pt idx="58">
                  <c:v>67950.675091805984</c:v>
                </c:pt>
                <c:pt idx="59">
                  <c:v>13479.450923284981</c:v>
                </c:pt>
                <c:pt idx="60">
                  <c:v>100689.5781597835</c:v>
                </c:pt>
                <c:pt idx="61">
                  <c:v>-69354.337521758745</c:v>
                </c:pt>
                <c:pt idx="62">
                  <c:v>-24211.357483012602</c:v>
                </c:pt>
                <c:pt idx="63">
                  <c:v>4202.6223308840999</c:v>
                </c:pt>
                <c:pt idx="64">
                  <c:v>42854.355925899465</c:v>
                </c:pt>
                <c:pt idx="65">
                  <c:v>22619.794455148745</c:v>
                </c:pt>
                <c:pt idx="66">
                  <c:v>142409.67029916134</c:v>
                </c:pt>
                <c:pt idx="67">
                  <c:v>41461.654545990634</c:v>
                </c:pt>
                <c:pt idx="68">
                  <c:v>-63341.582560772658</c:v>
                </c:pt>
                <c:pt idx="69">
                  <c:v>-44432.299215504201</c:v>
                </c:pt>
                <c:pt idx="70">
                  <c:v>-114958.98672104615</c:v>
                </c:pt>
                <c:pt idx="71">
                  <c:v>143006.57525084843</c:v>
                </c:pt>
                <c:pt idx="72">
                  <c:v>-37937.099431795767</c:v>
                </c:pt>
                <c:pt idx="73">
                  <c:v>99333.853324916097</c:v>
                </c:pt>
                <c:pt idx="74">
                  <c:v>-8370.3133540723938</c:v>
                </c:pt>
                <c:pt idx="75">
                  <c:v>28603.848199132131</c:v>
                </c:pt>
                <c:pt idx="76">
                  <c:v>59837.929133891012</c:v>
                </c:pt>
                <c:pt idx="77">
                  <c:v>120395.5283944523</c:v>
                </c:pt>
                <c:pt idx="78">
                  <c:v>-11581.485071992269</c:v>
                </c:pt>
                <c:pt idx="79">
                  <c:v>19550.373589459341</c:v>
                </c:pt>
                <c:pt idx="80">
                  <c:v>91233.716344084474</c:v>
                </c:pt>
                <c:pt idx="81">
                  <c:v>-126357.16231015115</c:v>
                </c:pt>
                <c:pt idx="82">
                  <c:v>-12616.573841663427</c:v>
                </c:pt>
                <c:pt idx="83">
                  <c:v>-3302.7348004650557</c:v>
                </c:pt>
                <c:pt idx="84">
                  <c:v>208427.56423085532</c:v>
                </c:pt>
                <c:pt idx="85">
                  <c:v>57331.246638679411</c:v>
                </c:pt>
                <c:pt idx="86">
                  <c:v>28086.936830275692</c:v>
                </c:pt>
                <c:pt idx="87">
                  <c:v>205246.31933004549</c:v>
                </c:pt>
                <c:pt idx="88">
                  <c:v>-43097.424764065538</c:v>
                </c:pt>
                <c:pt idx="89">
                  <c:v>92325.024325864506</c:v>
                </c:pt>
                <c:pt idx="90">
                  <c:v>92924.794316491461</c:v>
                </c:pt>
                <c:pt idx="91">
                  <c:v>-1294.9159393837908</c:v>
                </c:pt>
                <c:pt idx="92">
                  <c:v>175207.99853897374</c:v>
                </c:pt>
                <c:pt idx="93">
                  <c:v>-54750.374155184836</c:v>
                </c:pt>
                <c:pt idx="94">
                  <c:v>-64475.955271839746</c:v>
                </c:pt>
                <c:pt idx="95">
                  <c:v>-52548.977791978046</c:v>
                </c:pt>
                <c:pt idx="96">
                  <c:v>50588.618467102526</c:v>
                </c:pt>
                <c:pt idx="97">
                  <c:v>112870.49250792805</c:v>
                </c:pt>
                <c:pt idx="98">
                  <c:v>-26892.157722393633</c:v>
                </c:pt>
                <c:pt idx="99">
                  <c:v>-104294.20794726862</c:v>
                </c:pt>
                <c:pt idx="100">
                  <c:v>-87350.338111095014</c:v>
                </c:pt>
                <c:pt idx="101">
                  <c:v>-38929.900183701771</c:v>
                </c:pt>
                <c:pt idx="102">
                  <c:v>-49145.185964614269</c:v>
                </c:pt>
                <c:pt idx="103">
                  <c:v>43106.832081614528</c:v>
                </c:pt>
                <c:pt idx="104">
                  <c:v>-36580.831210506498</c:v>
                </c:pt>
                <c:pt idx="105">
                  <c:v>-131385.78655583505</c:v>
                </c:pt>
                <c:pt idx="106">
                  <c:v>56984.811135831522</c:v>
                </c:pt>
                <c:pt idx="107">
                  <c:v>-146098.89055458619</c:v>
                </c:pt>
                <c:pt idx="108">
                  <c:v>-33813.416582778562</c:v>
                </c:pt>
                <c:pt idx="109">
                  <c:v>-86504.528933201334</c:v>
                </c:pt>
                <c:pt idx="110">
                  <c:v>134855.64698492957</c:v>
                </c:pt>
                <c:pt idx="111">
                  <c:v>5287.2467674373183</c:v>
                </c:pt>
                <c:pt idx="112">
                  <c:v>-53385.410599146504</c:v>
                </c:pt>
                <c:pt idx="113">
                  <c:v>27151.642265630071</c:v>
                </c:pt>
                <c:pt idx="114">
                  <c:v>-93770.749994666432</c:v>
                </c:pt>
                <c:pt idx="115">
                  <c:v>-83309.070981612778</c:v>
                </c:pt>
                <c:pt idx="116">
                  <c:v>80638.046540076379</c:v>
                </c:pt>
                <c:pt idx="117">
                  <c:v>31753.958376822411</c:v>
                </c:pt>
                <c:pt idx="118">
                  <c:v>18484.718816852896</c:v>
                </c:pt>
                <c:pt idx="119">
                  <c:v>-23006.372804688173</c:v>
                </c:pt>
                <c:pt idx="120">
                  <c:v>-4166.8907215014333</c:v>
                </c:pt>
                <c:pt idx="121">
                  <c:v>105192.7388155025</c:v>
                </c:pt>
                <c:pt idx="122">
                  <c:v>75369.079224341083</c:v>
                </c:pt>
                <c:pt idx="123">
                  <c:v>12532.48247625248</c:v>
                </c:pt>
                <c:pt idx="124">
                  <c:v>-94859.49376354774</c:v>
                </c:pt>
                <c:pt idx="125">
                  <c:v>-65053.618556951056</c:v>
                </c:pt>
                <c:pt idx="126">
                  <c:v>57642.260959783918</c:v>
                </c:pt>
                <c:pt idx="127">
                  <c:v>94340.031171722338</c:v>
                </c:pt>
                <c:pt idx="128">
                  <c:v>-41143.713395865285</c:v>
                </c:pt>
                <c:pt idx="129">
                  <c:v>129398.14873398049</c:v>
                </c:pt>
                <c:pt idx="130">
                  <c:v>64264.111323945457</c:v>
                </c:pt>
                <c:pt idx="131">
                  <c:v>27304.290655578952</c:v>
                </c:pt>
                <c:pt idx="132">
                  <c:v>40227.261114481604</c:v>
                </c:pt>
                <c:pt idx="133">
                  <c:v>-127128.71599705284</c:v>
                </c:pt>
                <c:pt idx="134">
                  <c:v>7751.4769040500978</c:v>
                </c:pt>
                <c:pt idx="135">
                  <c:v>90237.95660576236</c:v>
                </c:pt>
                <c:pt idx="136">
                  <c:v>150.92655406834092</c:v>
                </c:pt>
                <c:pt idx="137">
                  <c:v>-157933.16093524138</c:v>
                </c:pt>
                <c:pt idx="138">
                  <c:v>27420.486707169213</c:v>
                </c:pt>
                <c:pt idx="139">
                  <c:v>-84745.728868649458</c:v>
                </c:pt>
                <c:pt idx="140">
                  <c:v>94199.705977719976</c:v>
                </c:pt>
                <c:pt idx="141">
                  <c:v>-37529.022204460343</c:v>
                </c:pt>
                <c:pt idx="142">
                  <c:v>61134.288224255317</c:v>
                </c:pt>
                <c:pt idx="143">
                  <c:v>77370.123780080699</c:v>
                </c:pt>
                <c:pt idx="144">
                  <c:v>-68747.126601481461</c:v>
                </c:pt>
                <c:pt idx="145">
                  <c:v>-113058.18926273275</c:v>
                </c:pt>
                <c:pt idx="146">
                  <c:v>-57745.566392478766</c:v>
                </c:pt>
                <c:pt idx="147">
                  <c:v>5481.8149038347183</c:v>
                </c:pt>
                <c:pt idx="148">
                  <c:v>106955.45324403304</c:v>
                </c:pt>
                <c:pt idx="149">
                  <c:v>-62844.817573585082</c:v>
                </c:pt>
                <c:pt idx="150">
                  <c:v>-69058.462264186935</c:v>
                </c:pt>
                <c:pt idx="151">
                  <c:v>-140253.19530588132</c:v>
                </c:pt>
                <c:pt idx="152">
                  <c:v>67358.013602994499</c:v>
                </c:pt>
                <c:pt idx="153">
                  <c:v>-75229.263714940636</c:v>
                </c:pt>
                <c:pt idx="154">
                  <c:v>57577.918333237758</c:v>
                </c:pt>
                <c:pt idx="155">
                  <c:v>624.44523079949431</c:v>
                </c:pt>
                <c:pt idx="156">
                  <c:v>-47211.498145211255</c:v>
                </c:pt>
                <c:pt idx="157">
                  <c:v>-5371.597266501165</c:v>
                </c:pt>
                <c:pt idx="158">
                  <c:v>183026.65572843538</c:v>
                </c:pt>
                <c:pt idx="159">
                  <c:v>-45723.578804775956</c:v>
                </c:pt>
                <c:pt idx="160">
                  <c:v>-36011.052811162663</c:v>
                </c:pt>
                <c:pt idx="161">
                  <c:v>-3231.679752997472</c:v>
                </c:pt>
                <c:pt idx="162">
                  <c:v>-99834.37386400986</c:v>
                </c:pt>
                <c:pt idx="163">
                  <c:v>135476.73944109899</c:v>
                </c:pt>
                <c:pt idx="164">
                  <c:v>116377.73381727526</c:v>
                </c:pt>
                <c:pt idx="165">
                  <c:v>-57822.154113745783</c:v>
                </c:pt>
                <c:pt idx="166">
                  <c:v>-87007.228448659065</c:v>
                </c:pt>
                <c:pt idx="167">
                  <c:v>55819.314270830946</c:v>
                </c:pt>
                <c:pt idx="168">
                  <c:v>116669.15800432081</c:v>
                </c:pt>
                <c:pt idx="169">
                  <c:v>147423.17162775667</c:v>
                </c:pt>
                <c:pt idx="170">
                  <c:v>-118273.60019044194</c:v>
                </c:pt>
                <c:pt idx="171">
                  <c:v>38711.253344259458</c:v>
                </c:pt>
                <c:pt idx="172">
                  <c:v>148706.95653532178</c:v>
                </c:pt>
                <c:pt idx="173">
                  <c:v>58141.930166566628</c:v>
                </c:pt>
                <c:pt idx="174">
                  <c:v>128124.34704296396</c:v>
                </c:pt>
                <c:pt idx="175">
                  <c:v>-10721.426650287583</c:v>
                </c:pt>
                <c:pt idx="176">
                  <c:v>-189209.95550591586</c:v>
                </c:pt>
                <c:pt idx="177">
                  <c:v>147155.46042281296</c:v>
                </c:pt>
                <c:pt idx="178">
                  <c:v>40997.904025392374</c:v>
                </c:pt>
                <c:pt idx="179">
                  <c:v>79704.86167233251</c:v>
                </c:pt>
                <c:pt idx="180">
                  <c:v>66114.703356802231</c:v>
                </c:pt>
                <c:pt idx="181">
                  <c:v>-54784.838195579825</c:v>
                </c:pt>
                <c:pt idx="182">
                  <c:v>-112781.77081566537</c:v>
                </c:pt>
                <c:pt idx="183">
                  <c:v>-102945.94417809922</c:v>
                </c:pt>
                <c:pt idx="184">
                  <c:v>-23349.437931012129</c:v>
                </c:pt>
                <c:pt idx="185">
                  <c:v>-57411.107105141971</c:v>
                </c:pt>
                <c:pt idx="186">
                  <c:v>95366.775885087904</c:v>
                </c:pt>
                <c:pt idx="187">
                  <c:v>50612.689072586363</c:v>
                </c:pt>
                <c:pt idx="188">
                  <c:v>-72824.939454411506</c:v>
                </c:pt>
                <c:pt idx="189">
                  <c:v>1442.9117562967585</c:v>
                </c:pt>
                <c:pt idx="190">
                  <c:v>26122.20292095677</c:v>
                </c:pt>
                <c:pt idx="191">
                  <c:v>10465.500697354088</c:v>
                </c:pt>
                <c:pt idx="192">
                  <c:v>70327.137888060766</c:v>
                </c:pt>
                <c:pt idx="193">
                  <c:v>68170.284492269508</c:v>
                </c:pt>
                <c:pt idx="194">
                  <c:v>26816.019153358415</c:v>
                </c:pt>
                <c:pt idx="195">
                  <c:v>-128620.46286596835</c:v>
                </c:pt>
                <c:pt idx="196">
                  <c:v>-113518.17670836009</c:v>
                </c:pt>
                <c:pt idx="197">
                  <c:v>87344.943237840082</c:v>
                </c:pt>
                <c:pt idx="198">
                  <c:v>-95975.760785604245</c:v>
                </c:pt>
                <c:pt idx="199">
                  <c:v>-35450.191446274752</c:v>
                </c:pt>
                <c:pt idx="200">
                  <c:v>52464.319825051702</c:v>
                </c:pt>
                <c:pt idx="201">
                  <c:v>-47925.607754356461</c:v>
                </c:pt>
                <c:pt idx="202">
                  <c:v>63985.243310117279</c:v>
                </c:pt>
                <c:pt idx="203">
                  <c:v>-52166.045164295589</c:v>
                </c:pt>
                <c:pt idx="204">
                  <c:v>109229.8353725092</c:v>
                </c:pt>
                <c:pt idx="205">
                  <c:v>63158.689092704793</c:v>
                </c:pt>
                <c:pt idx="206">
                  <c:v>29968.559518125025</c:v>
                </c:pt>
                <c:pt idx="207">
                  <c:v>-8418.8390833894955</c:v>
                </c:pt>
                <c:pt idx="208">
                  <c:v>-150519.51983643841</c:v>
                </c:pt>
                <c:pt idx="209">
                  <c:v>186370.21736690076</c:v>
                </c:pt>
                <c:pt idx="210">
                  <c:v>37791.863453087281</c:v>
                </c:pt>
                <c:pt idx="211">
                  <c:v>53980.160163875436</c:v>
                </c:pt>
                <c:pt idx="212">
                  <c:v>95972.618309491547</c:v>
                </c:pt>
                <c:pt idx="213">
                  <c:v>29288.375578750274</c:v>
                </c:pt>
                <c:pt idx="214">
                  <c:v>50669.874451719574</c:v>
                </c:pt>
                <c:pt idx="215">
                  <c:v>-124522.75600503024</c:v>
                </c:pt>
                <c:pt idx="216">
                  <c:v>114532.31836838275</c:v>
                </c:pt>
                <c:pt idx="217">
                  <c:v>-32126.884428280173</c:v>
                </c:pt>
                <c:pt idx="218">
                  <c:v>73138.301742740674</c:v>
                </c:pt>
                <c:pt idx="219">
                  <c:v>-11174.727942072204</c:v>
                </c:pt>
                <c:pt idx="220">
                  <c:v>47439.216288022231</c:v>
                </c:pt>
                <c:pt idx="221">
                  <c:v>27126.470486439415</c:v>
                </c:pt>
                <c:pt idx="222">
                  <c:v>-56586.731081105419</c:v>
                </c:pt>
                <c:pt idx="223">
                  <c:v>-181552.71142787219</c:v>
                </c:pt>
                <c:pt idx="224">
                  <c:v>73248.476972029312</c:v>
                </c:pt>
                <c:pt idx="225">
                  <c:v>-90322.668043911224</c:v>
                </c:pt>
                <c:pt idx="226">
                  <c:v>-62080.953647710383</c:v>
                </c:pt>
                <c:pt idx="227">
                  <c:v>-37255.032001751824</c:v>
                </c:pt>
                <c:pt idx="228">
                  <c:v>101948.63181582629</c:v>
                </c:pt>
                <c:pt idx="229">
                  <c:v>128434.2928596636</c:v>
                </c:pt>
                <c:pt idx="230">
                  <c:v>22601.42424043885</c:v>
                </c:pt>
                <c:pt idx="231">
                  <c:v>63037.640783319483</c:v>
                </c:pt>
                <c:pt idx="232">
                  <c:v>109152.74249531853</c:v>
                </c:pt>
                <c:pt idx="233">
                  <c:v>56473.369394549518</c:v>
                </c:pt>
                <c:pt idx="234">
                  <c:v>-26411.122656919993</c:v>
                </c:pt>
                <c:pt idx="235">
                  <c:v>88351.610003826441</c:v>
                </c:pt>
                <c:pt idx="236">
                  <c:v>-108529.9946451264</c:v>
                </c:pt>
                <c:pt idx="237">
                  <c:v>-60092.517328299349</c:v>
                </c:pt>
                <c:pt idx="238">
                  <c:v>-38448.553911771509</c:v>
                </c:pt>
                <c:pt idx="239">
                  <c:v>-10263.504868090735</c:v>
                </c:pt>
                <c:pt idx="240">
                  <c:v>-73341.284507648787</c:v>
                </c:pt>
                <c:pt idx="241">
                  <c:v>-11263.315387909999</c:v>
                </c:pt>
                <c:pt idx="242">
                  <c:v>-137358.29592046677</c:v>
                </c:pt>
                <c:pt idx="243">
                  <c:v>27995.1569255949</c:v>
                </c:pt>
                <c:pt idx="244">
                  <c:v>-197799.26720249996</c:v>
                </c:pt>
                <c:pt idx="245">
                  <c:v>-78875.89976136887</c:v>
                </c:pt>
                <c:pt idx="246">
                  <c:v>-97845.3424810617</c:v>
                </c:pt>
                <c:pt idx="247">
                  <c:v>-125283.72564690281</c:v>
                </c:pt>
                <c:pt idx="248">
                  <c:v>-91540.814830717398</c:v>
                </c:pt>
                <c:pt idx="249">
                  <c:v>-5048.7480024684919</c:v>
                </c:pt>
                <c:pt idx="250">
                  <c:v>-133154.70705565473</c:v>
                </c:pt>
                <c:pt idx="251">
                  <c:v>67639.362394083641</c:v>
                </c:pt>
                <c:pt idx="252">
                  <c:v>46894.685972106643</c:v>
                </c:pt>
                <c:pt idx="253">
                  <c:v>-96679.270754796802</c:v>
                </c:pt>
                <c:pt idx="254">
                  <c:v>-156371.49829717795</c:v>
                </c:pt>
                <c:pt idx="255">
                  <c:v>64945.792343347683</c:v>
                </c:pt>
                <c:pt idx="256">
                  <c:v>-101713.82983746508</c:v>
                </c:pt>
                <c:pt idx="257">
                  <c:v>-160123.86029289896</c:v>
                </c:pt>
                <c:pt idx="258">
                  <c:v>-74728.509102595854</c:v>
                </c:pt>
                <c:pt idx="259">
                  <c:v>-132134.14078704629</c:v>
                </c:pt>
                <c:pt idx="260">
                  <c:v>-5775.095392538351</c:v>
                </c:pt>
                <c:pt idx="261">
                  <c:v>30202.839531353675</c:v>
                </c:pt>
                <c:pt idx="262">
                  <c:v>-87477.407962473575</c:v>
                </c:pt>
                <c:pt idx="263">
                  <c:v>-34454.50088813575</c:v>
                </c:pt>
                <c:pt idx="264">
                  <c:v>-79267.592854648363</c:v>
                </c:pt>
                <c:pt idx="265">
                  <c:v>-9389.5106636760756</c:v>
                </c:pt>
                <c:pt idx="266">
                  <c:v>-83967.439442733885</c:v>
                </c:pt>
                <c:pt idx="267">
                  <c:v>1445.851123373257</c:v>
                </c:pt>
                <c:pt idx="268">
                  <c:v>-46496.748530347366</c:v>
                </c:pt>
                <c:pt idx="269">
                  <c:v>74569.218437819625</c:v>
                </c:pt>
                <c:pt idx="270">
                  <c:v>156125.54181137669</c:v>
                </c:pt>
                <c:pt idx="271">
                  <c:v>47175.769346799236</c:v>
                </c:pt>
                <c:pt idx="272">
                  <c:v>-3762.8986828306224</c:v>
                </c:pt>
                <c:pt idx="273">
                  <c:v>61286.547864142573</c:v>
                </c:pt>
                <c:pt idx="274">
                  <c:v>81597.575145385345</c:v>
                </c:pt>
                <c:pt idx="275">
                  <c:v>-186987.73589613382</c:v>
                </c:pt>
                <c:pt idx="276">
                  <c:v>-106353.2898482671</c:v>
                </c:pt>
                <c:pt idx="277">
                  <c:v>6142.9766800324433</c:v>
                </c:pt>
                <c:pt idx="278">
                  <c:v>-38844.421107664704</c:v>
                </c:pt>
                <c:pt idx="279">
                  <c:v>33113.036130436114</c:v>
                </c:pt>
                <c:pt idx="280">
                  <c:v>-51843.637436443823</c:v>
                </c:pt>
                <c:pt idx="281">
                  <c:v>-183135.8474522318</c:v>
                </c:pt>
                <c:pt idx="282">
                  <c:v>89270.477233326761</c:v>
                </c:pt>
                <c:pt idx="283">
                  <c:v>-123819.89622929879</c:v>
                </c:pt>
                <c:pt idx="284">
                  <c:v>-132532.94390425173</c:v>
                </c:pt>
                <c:pt idx="285">
                  <c:v>-29926.584367287811</c:v>
                </c:pt>
                <c:pt idx="286">
                  <c:v>-25669.664453698322</c:v>
                </c:pt>
                <c:pt idx="287">
                  <c:v>-69298.794778725249</c:v>
                </c:pt>
                <c:pt idx="288">
                  <c:v>-37063.703951678821</c:v>
                </c:pt>
                <c:pt idx="289">
                  <c:v>-133711.29653329181</c:v>
                </c:pt>
                <c:pt idx="290">
                  <c:v>-3966.3710293979384</c:v>
                </c:pt>
                <c:pt idx="291">
                  <c:v>-206948.91543288191</c:v>
                </c:pt>
                <c:pt idx="292">
                  <c:v>-144772.65087411291</c:v>
                </c:pt>
                <c:pt idx="293">
                  <c:v>-200025.3677990564</c:v>
                </c:pt>
                <c:pt idx="294">
                  <c:v>-4997.2159522841685</c:v>
                </c:pt>
                <c:pt idx="295">
                  <c:v>-103669.11106150935</c:v>
                </c:pt>
                <c:pt idx="296">
                  <c:v>-281539.14187181345</c:v>
                </c:pt>
                <c:pt idx="297">
                  <c:v>-196715.01984930108</c:v>
                </c:pt>
                <c:pt idx="298">
                  <c:v>77465.730863074306</c:v>
                </c:pt>
                <c:pt idx="299">
                  <c:v>-19274.921742533334</c:v>
                </c:pt>
                <c:pt idx="300">
                  <c:v>-195023.12325880263</c:v>
                </c:pt>
                <c:pt idx="301">
                  <c:v>-79022.033332860097</c:v>
                </c:pt>
                <c:pt idx="302">
                  <c:v>-44439.593420623103</c:v>
                </c:pt>
                <c:pt idx="303">
                  <c:v>-9663.1658354429528</c:v>
                </c:pt>
                <c:pt idx="304">
                  <c:v>-28660.355508907232</c:v>
                </c:pt>
                <c:pt idx="305">
                  <c:v>-127497.24293500814</c:v>
                </c:pt>
                <c:pt idx="306">
                  <c:v>-160099.04211543937</c:v>
                </c:pt>
                <c:pt idx="307">
                  <c:v>-3545.2834486187203</c:v>
                </c:pt>
                <c:pt idx="308">
                  <c:v>-19676.138653758215</c:v>
                </c:pt>
                <c:pt idx="309">
                  <c:v>56412.588672836428</c:v>
                </c:pt>
                <c:pt idx="310">
                  <c:v>-211077.56656400167</c:v>
                </c:pt>
                <c:pt idx="311">
                  <c:v>-209701.51037484576</c:v>
                </c:pt>
                <c:pt idx="312">
                  <c:v>-119786.44374501309</c:v>
                </c:pt>
                <c:pt idx="313">
                  <c:v>-210143.51104626269</c:v>
                </c:pt>
                <c:pt idx="314">
                  <c:v>-235026.15489334671</c:v>
                </c:pt>
                <c:pt idx="315">
                  <c:v>-120673.2396144761</c:v>
                </c:pt>
                <c:pt idx="316">
                  <c:v>-35182.507157381042</c:v>
                </c:pt>
                <c:pt idx="317">
                  <c:v>-22937.521907340852</c:v>
                </c:pt>
                <c:pt idx="318">
                  <c:v>-261013.01364534011</c:v>
                </c:pt>
                <c:pt idx="319">
                  <c:v>-44371.762349912664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DF-4487-BB72-629972F59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87151"/>
        <c:axId val="117787631"/>
      </c:scatterChart>
      <c:valAx>
        <c:axId val="117787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marketing_spend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787631"/>
        <c:crosses val="autoZero"/>
        <c:crossBetween val="midCat"/>
      </c:valAx>
      <c:valAx>
        <c:axId val="1177876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78715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footfall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Dummy_Variables!$F$2:$F$321</c:f>
              <c:numCache>
                <c:formatCode>General</c:formatCode>
                <c:ptCount val="320"/>
                <c:pt idx="0">
                  <c:v>4063</c:v>
                </c:pt>
                <c:pt idx="1">
                  <c:v>2414</c:v>
                </c:pt>
                <c:pt idx="2">
                  <c:v>8434</c:v>
                </c:pt>
                <c:pt idx="3">
                  <c:v>5150</c:v>
                </c:pt>
                <c:pt idx="4">
                  <c:v>4644</c:v>
                </c:pt>
                <c:pt idx="5">
                  <c:v>8165</c:v>
                </c:pt>
                <c:pt idx="6">
                  <c:v>6389</c:v>
                </c:pt>
                <c:pt idx="7">
                  <c:v>7015</c:v>
                </c:pt>
                <c:pt idx="8">
                  <c:v>5575</c:v>
                </c:pt>
                <c:pt idx="9">
                  <c:v>7970</c:v>
                </c:pt>
                <c:pt idx="10">
                  <c:v>4451</c:v>
                </c:pt>
                <c:pt idx="11">
                  <c:v>8183</c:v>
                </c:pt>
                <c:pt idx="12">
                  <c:v>5321</c:v>
                </c:pt>
                <c:pt idx="13">
                  <c:v>8300</c:v>
                </c:pt>
                <c:pt idx="14">
                  <c:v>5903</c:v>
                </c:pt>
                <c:pt idx="15">
                  <c:v>6992</c:v>
                </c:pt>
                <c:pt idx="16">
                  <c:v>5893</c:v>
                </c:pt>
                <c:pt idx="17">
                  <c:v>10396</c:v>
                </c:pt>
                <c:pt idx="18">
                  <c:v>3847</c:v>
                </c:pt>
                <c:pt idx="19">
                  <c:v>6856</c:v>
                </c:pt>
                <c:pt idx="20">
                  <c:v>7875</c:v>
                </c:pt>
                <c:pt idx="21">
                  <c:v>6992</c:v>
                </c:pt>
                <c:pt idx="22">
                  <c:v>9489</c:v>
                </c:pt>
                <c:pt idx="23">
                  <c:v>6806</c:v>
                </c:pt>
                <c:pt idx="24">
                  <c:v>8966</c:v>
                </c:pt>
                <c:pt idx="25">
                  <c:v>4970</c:v>
                </c:pt>
                <c:pt idx="26">
                  <c:v>6477</c:v>
                </c:pt>
                <c:pt idx="27">
                  <c:v>7836</c:v>
                </c:pt>
                <c:pt idx="28">
                  <c:v>3360</c:v>
                </c:pt>
                <c:pt idx="29">
                  <c:v>3642</c:v>
                </c:pt>
                <c:pt idx="30">
                  <c:v>7470</c:v>
                </c:pt>
                <c:pt idx="31">
                  <c:v>4902</c:v>
                </c:pt>
                <c:pt idx="32">
                  <c:v>5281</c:v>
                </c:pt>
                <c:pt idx="33">
                  <c:v>8018</c:v>
                </c:pt>
                <c:pt idx="34">
                  <c:v>6534</c:v>
                </c:pt>
                <c:pt idx="35">
                  <c:v>8838</c:v>
                </c:pt>
                <c:pt idx="36">
                  <c:v>8567</c:v>
                </c:pt>
                <c:pt idx="37">
                  <c:v>6544</c:v>
                </c:pt>
                <c:pt idx="38">
                  <c:v>5306</c:v>
                </c:pt>
                <c:pt idx="39">
                  <c:v>9999</c:v>
                </c:pt>
                <c:pt idx="40">
                  <c:v>9574</c:v>
                </c:pt>
                <c:pt idx="41">
                  <c:v>6427</c:v>
                </c:pt>
                <c:pt idx="42">
                  <c:v>7925</c:v>
                </c:pt>
                <c:pt idx="43">
                  <c:v>9412</c:v>
                </c:pt>
                <c:pt idx="44">
                  <c:v>9323</c:v>
                </c:pt>
                <c:pt idx="45">
                  <c:v>4264</c:v>
                </c:pt>
                <c:pt idx="46">
                  <c:v>3701</c:v>
                </c:pt>
                <c:pt idx="47">
                  <c:v>7189</c:v>
                </c:pt>
                <c:pt idx="48">
                  <c:v>5911</c:v>
                </c:pt>
                <c:pt idx="49">
                  <c:v>6832</c:v>
                </c:pt>
                <c:pt idx="50">
                  <c:v>6516</c:v>
                </c:pt>
                <c:pt idx="51">
                  <c:v>10979</c:v>
                </c:pt>
                <c:pt idx="52">
                  <c:v>5887</c:v>
                </c:pt>
                <c:pt idx="53">
                  <c:v>6301</c:v>
                </c:pt>
                <c:pt idx="54">
                  <c:v>5550</c:v>
                </c:pt>
                <c:pt idx="55">
                  <c:v>3595</c:v>
                </c:pt>
                <c:pt idx="56">
                  <c:v>5516</c:v>
                </c:pt>
                <c:pt idx="57">
                  <c:v>7574</c:v>
                </c:pt>
                <c:pt idx="58">
                  <c:v>8961</c:v>
                </c:pt>
                <c:pt idx="59">
                  <c:v>5962</c:v>
                </c:pt>
                <c:pt idx="60">
                  <c:v>8949</c:v>
                </c:pt>
                <c:pt idx="61">
                  <c:v>3559</c:v>
                </c:pt>
                <c:pt idx="62">
                  <c:v>3928</c:v>
                </c:pt>
                <c:pt idx="63">
                  <c:v>5988</c:v>
                </c:pt>
                <c:pt idx="64">
                  <c:v>7024</c:v>
                </c:pt>
                <c:pt idx="65">
                  <c:v>6244</c:v>
                </c:pt>
                <c:pt idx="66">
                  <c:v>9967</c:v>
                </c:pt>
                <c:pt idx="67">
                  <c:v>6620</c:v>
                </c:pt>
                <c:pt idx="68">
                  <c:v>5559</c:v>
                </c:pt>
                <c:pt idx="69">
                  <c:v>5493</c:v>
                </c:pt>
                <c:pt idx="70">
                  <c:v>1375</c:v>
                </c:pt>
                <c:pt idx="71">
                  <c:v>9505</c:v>
                </c:pt>
                <c:pt idx="72">
                  <c:v>5150</c:v>
                </c:pt>
                <c:pt idx="73">
                  <c:v>8001</c:v>
                </c:pt>
                <c:pt idx="74">
                  <c:v>5465</c:v>
                </c:pt>
                <c:pt idx="75">
                  <c:v>7223</c:v>
                </c:pt>
                <c:pt idx="76">
                  <c:v>6551</c:v>
                </c:pt>
                <c:pt idx="77">
                  <c:v>9314</c:v>
                </c:pt>
                <c:pt idx="78">
                  <c:v>6975</c:v>
                </c:pt>
                <c:pt idx="79">
                  <c:v>8484</c:v>
                </c:pt>
                <c:pt idx="80">
                  <c:v>8634</c:v>
                </c:pt>
                <c:pt idx="81">
                  <c:v>3227</c:v>
                </c:pt>
                <c:pt idx="82">
                  <c:v>4467</c:v>
                </c:pt>
                <c:pt idx="83">
                  <c:v>5485</c:v>
                </c:pt>
                <c:pt idx="84">
                  <c:v>12775</c:v>
                </c:pt>
                <c:pt idx="85">
                  <c:v>7240</c:v>
                </c:pt>
                <c:pt idx="86">
                  <c:v>5645</c:v>
                </c:pt>
                <c:pt idx="87">
                  <c:v>11230</c:v>
                </c:pt>
                <c:pt idx="88">
                  <c:v>5918</c:v>
                </c:pt>
                <c:pt idx="89">
                  <c:v>9324</c:v>
                </c:pt>
                <c:pt idx="90">
                  <c:v>9440</c:v>
                </c:pt>
                <c:pt idx="91">
                  <c:v>5641</c:v>
                </c:pt>
                <c:pt idx="92">
                  <c:v>11224</c:v>
                </c:pt>
                <c:pt idx="93">
                  <c:v>3660</c:v>
                </c:pt>
                <c:pt idx="94">
                  <c:v>4713</c:v>
                </c:pt>
                <c:pt idx="95">
                  <c:v>3804</c:v>
                </c:pt>
                <c:pt idx="96">
                  <c:v>8129</c:v>
                </c:pt>
                <c:pt idx="97">
                  <c:v>10940</c:v>
                </c:pt>
                <c:pt idx="98">
                  <c:v>6164</c:v>
                </c:pt>
                <c:pt idx="99">
                  <c:v>3091</c:v>
                </c:pt>
                <c:pt idx="100">
                  <c:v>3506</c:v>
                </c:pt>
                <c:pt idx="101">
                  <c:v>6840</c:v>
                </c:pt>
                <c:pt idx="102">
                  <c:v>4022</c:v>
                </c:pt>
                <c:pt idx="103">
                  <c:v>7374</c:v>
                </c:pt>
                <c:pt idx="104">
                  <c:v>3326</c:v>
                </c:pt>
                <c:pt idx="105">
                  <c:v>1723</c:v>
                </c:pt>
                <c:pt idx="106">
                  <c:v>6704</c:v>
                </c:pt>
                <c:pt idx="107">
                  <c:v>2842</c:v>
                </c:pt>
                <c:pt idx="108">
                  <c:v>5394</c:v>
                </c:pt>
                <c:pt idx="109">
                  <c:v>4487</c:v>
                </c:pt>
                <c:pt idx="110">
                  <c:v>8870</c:v>
                </c:pt>
                <c:pt idx="111">
                  <c:v>5648</c:v>
                </c:pt>
                <c:pt idx="112">
                  <c:v>5479</c:v>
                </c:pt>
                <c:pt idx="113">
                  <c:v>7479</c:v>
                </c:pt>
                <c:pt idx="114">
                  <c:v>3642</c:v>
                </c:pt>
                <c:pt idx="115">
                  <c:v>3694</c:v>
                </c:pt>
                <c:pt idx="116">
                  <c:v>8741</c:v>
                </c:pt>
                <c:pt idx="117">
                  <c:v>5457</c:v>
                </c:pt>
                <c:pt idx="118">
                  <c:v>6000</c:v>
                </c:pt>
                <c:pt idx="119">
                  <c:v>7562</c:v>
                </c:pt>
                <c:pt idx="120">
                  <c:v>5252</c:v>
                </c:pt>
                <c:pt idx="121">
                  <c:v>9315</c:v>
                </c:pt>
                <c:pt idx="122">
                  <c:v>9702</c:v>
                </c:pt>
                <c:pt idx="123">
                  <c:v>5745</c:v>
                </c:pt>
                <c:pt idx="124">
                  <c:v>3364</c:v>
                </c:pt>
                <c:pt idx="125">
                  <c:v>4074</c:v>
                </c:pt>
                <c:pt idx="126">
                  <c:v>7816</c:v>
                </c:pt>
                <c:pt idx="127">
                  <c:v>9287</c:v>
                </c:pt>
                <c:pt idx="128">
                  <c:v>3875</c:v>
                </c:pt>
                <c:pt idx="129">
                  <c:v>9598</c:v>
                </c:pt>
                <c:pt idx="130">
                  <c:v>7969</c:v>
                </c:pt>
                <c:pt idx="131">
                  <c:v>7989</c:v>
                </c:pt>
                <c:pt idx="132">
                  <c:v>6939</c:v>
                </c:pt>
                <c:pt idx="133">
                  <c:v>2613</c:v>
                </c:pt>
                <c:pt idx="134">
                  <c:v>6169</c:v>
                </c:pt>
                <c:pt idx="135">
                  <c:v>8296</c:v>
                </c:pt>
                <c:pt idx="136">
                  <c:v>6394</c:v>
                </c:pt>
                <c:pt idx="137">
                  <c:v>2390</c:v>
                </c:pt>
                <c:pt idx="138">
                  <c:v>6089</c:v>
                </c:pt>
                <c:pt idx="139">
                  <c:v>3193</c:v>
                </c:pt>
                <c:pt idx="140">
                  <c:v>9996</c:v>
                </c:pt>
                <c:pt idx="141">
                  <c:v>4712</c:v>
                </c:pt>
                <c:pt idx="142">
                  <c:v>7821</c:v>
                </c:pt>
                <c:pt idx="143">
                  <c:v>8934</c:v>
                </c:pt>
                <c:pt idx="144">
                  <c:v>4162</c:v>
                </c:pt>
                <c:pt idx="145">
                  <c:v>2358</c:v>
                </c:pt>
                <c:pt idx="146">
                  <c:v>5150</c:v>
                </c:pt>
                <c:pt idx="147">
                  <c:v>6322</c:v>
                </c:pt>
                <c:pt idx="148">
                  <c:v>10192</c:v>
                </c:pt>
                <c:pt idx="149">
                  <c:v>3047</c:v>
                </c:pt>
                <c:pt idx="150">
                  <c:v>5410</c:v>
                </c:pt>
                <c:pt idx="151">
                  <c:v>2121</c:v>
                </c:pt>
                <c:pt idx="152">
                  <c:v>8055</c:v>
                </c:pt>
                <c:pt idx="153">
                  <c:v>3466</c:v>
                </c:pt>
                <c:pt idx="154">
                  <c:v>8268</c:v>
                </c:pt>
                <c:pt idx="155">
                  <c:v>6740</c:v>
                </c:pt>
                <c:pt idx="156">
                  <c:v>4783</c:v>
                </c:pt>
                <c:pt idx="157">
                  <c:v>8038</c:v>
                </c:pt>
                <c:pt idx="158">
                  <c:v>12361</c:v>
                </c:pt>
                <c:pt idx="159">
                  <c:v>6424</c:v>
                </c:pt>
                <c:pt idx="160">
                  <c:v>5686</c:v>
                </c:pt>
                <c:pt idx="161">
                  <c:v>7932</c:v>
                </c:pt>
                <c:pt idx="162">
                  <c:v>4094</c:v>
                </c:pt>
                <c:pt idx="163">
                  <c:v>10741</c:v>
                </c:pt>
                <c:pt idx="164">
                  <c:v>9644</c:v>
                </c:pt>
                <c:pt idx="165">
                  <c:v>4509</c:v>
                </c:pt>
                <c:pt idx="166">
                  <c:v>3783</c:v>
                </c:pt>
                <c:pt idx="167">
                  <c:v>8221</c:v>
                </c:pt>
                <c:pt idx="168">
                  <c:v>10076</c:v>
                </c:pt>
                <c:pt idx="169">
                  <c:v>10616</c:v>
                </c:pt>
                <c:pt idx="170">
                  <c:v>3350</c:v>
                </c:pt>
                <c:pt idx="171">
                  <c:v>7107</c:v>
                </c:pt>
                <c:pt idx="172">
                  <c:v>11154</c:v>
                </c:pt>
                <c:pt idx="173">
                  <c:v>8895</c:v>
                </c:pt>
                <c:pt idx="174">
                  <c:v>10218</c:v>
                </c:pt>
                <c:pt idx="175">
                  <c:v>5896</c:v>
                </c:pt>
                <c:pt idx="176">
                  <c:v>1231</c:v>
                </c:pt>
                <c:pt idx="177">
                  <c:v>10618</c:v>
                </c:pt>
                <c:pt idx="178">
                  <c:v>7671</c:v>
                </c:pt>
                <c:pt idx="179">
                  <c:v>9449</c:v>
                </c:pt>
                <c:pt idx="180">
                  <c:v>9812</c:v>
                </c:pt>
                <c:pt idx="181">
                  <c:v>5434</c:v>
                </c:pt>
                <c:pt idx="182">
                  <c:v>3788</c:v>
                </c:pt>
                <c:pt idx="183">
                  <c:v>3027</c:v>
                </c:pt>
                <c:pt idx="184">
                  <c:v>5689</c:v>
                </c:pt>
                <c:pt idx="185">
                  <c:v>4865</c:v>
                </c:pt>
                <c:pt idx="186">
                  <c:v>10596</c:v>
                </c:pt>
                <c:pt idx="187">
                  <c:v>7693</c:v>
                </c:pt>
                <c:pt idx="188">
                  <c:v>4259</c:v>
                </c:pt>
                <c:pt idx="189">
                  <c:v>7057</c:v>
                </c:pt>
                <c:pt idx="190">
                  <c:v>7083</c:v>
                </c:pt>
                <c:pt idx="191">
                  <c:v>4678</c:v>
                </c:pt>
                <c:pt idx="192">
                  <c:v>8789</c:v>
                </c:pt>
                <c:pt idx="193">
                  <c:v>9476</c:v>
                </c:pt>
                <c:pt idx="194">
                  <c:v>6057</c:v>
                </c:pt>
                <c:pt idx="195">
                  <c:v>2312</c:v>
                </c:pt>
                <c:pt idx="196">
                  <c:v>4263</c:v>
                </c:pt>
                <c:pt idx="197">
                  <c:v>8733</c:v>
                </c:pt>
                <c:pt idx="198">
                  <c:v>3845</c:v>
                </c:pt>
                <c:pt idx="199">
                  <c:v>5759</c:v>
                </c:pt>
                <c:pt idx="200">
                  <c:v>9826</c:v>
                </c:pt>
                <c:pt idx="201">
                  <c:v>5400</c:v>
                </c:pt>
                <c:pt idx="202">
                  <c:v>8739</c:v>
                </c:pt>
                <c:pt idx="203">
                  <c:v>5562</c:v>
                </c:pt>
                <c:pt idx="204">
                  <c:v>10402</c:v>
                </c:pt>
                <c:pt idx="205">
                  <c:v>9674</c:v>
                </c:pt>
                <c:pt idx="206">
                  <c:v>6782</c:v>
                </c:pt>
                <c:pt idx="207">
                  <c:v>7775</c:v>
                </c:pt>
                <c:pt idx="208">
                  <c:v>1260</c:v>
                </c:pt>
                <c:pt idx="209">
                  <c:v>11076</c:v>
                </c:pt>
                <c:pt idx="210">
                  <c:v>7291</c:v>
                </c:pt>
                <c:pt idx="211">
                  <c:v>7404</c:v>
                </c:pt>
                <c:pt idx="212">
                  <c:v>9752</c:v>
                </c:pt>
                <c:pt idx="213">
                  <c:v>7880</c:v>
                </c:pt>
                <c:pt idx="214">
                  <c:v>9109</c:v>
                </c:pt>
                <c:pt idx="215">
                  <c:v>3872</c:v>
                </c:pt>
                <c:pt idx="216">
                  <c:v>10125</c:v>
                </c:pt>
                <c:pt idx="217">
                  <c:v>6084</c:v>
                </c:pt>
                <c:pt idx="218">
                  <c:v>9459</c:v>
                </c:pt>
                <c:pt idx="219">
                  <c:v>6055</c:v>
                </c:pt>
                <c:pt idx="220">
                  <c:v>7940</c:v>
                </c:pt>
                <c:pt idx="221">
                  <c:v>8156</c:v>
                </c:pt>
                <c:pt idx="222">
                  <c:v>5329</c:v>
                </c:pt>
                <c:pt idx="223">
                  <c:v>1963</c:v>
                </c:pt>
                <c:pt idx="224">
                  <c:v>8119</c:v>
                </c:pt>
                <c:pt idx="225">
                  <c:v>5974</c:v>
                </c:pt>
                <c:pt idx="226">
                  <c:v>5538</c:v>
                </c:pt>
                <c:pt idx="227">
                  <c:v>5104</c:v>
                </c:pt>
                <c:pt idx="228">
                  <c:v>9249</c:v>
                </c:pt>
                <c:pt idx="229">
                  <c:v>10453</c:v>
                </c:pt>
                <c:pt idx="230">
                  <c:v>7324</c:v>
                </c:pt>
                <c:pt idx="231">
                  <c:v>9792</c:v>
                </c:pt>
                <c:pt idx="232">
                  <c:v>10836</c:v>
                </c:pt>
                <c:pt idx="233">
                  <c:v>8252</c:v>
                </c:pt>
                <c:pt idx="234">
                  <c:v>5767</c:v>
                </c:pt>
                <c:pt idx="235">
                  <c:v>8004</c:v>
                </c:pt>
                <c:pt idx="236">
                  <c:v>4373</c:v>
                </c:pt>
                <c:pt idx="237">
                  <c:v>4898</c:v>
                </c:pt>
                <c:pt idx="238">
                  <c:v>6662</c:v>
                </c:pt>
                <c:pt idx="239">
                  <c:v>5014</c:v>
                </c:pt>
                <c:pt idx="240">
                  <c:v>5765</c:v>
                </c:pt>
                <c:pt idx="241">
                  <c:v>7794</c:v>
                </c:pt>
                <c:pt idx="242">
                  <c:v>4004</c:v>
                </c:pt>
                <c:pt idx="243">
                  <c:v>7973</c:v>
                </c:pt>
                <c:pt idx="244">
                  <c:v>1268</c:v>
                </c:pt>
                <c:pt idx="245">
                  <c:v>3618</c:v>
                </c:pt>
                <c:pt idx="246">
                  <c:v>5012</c:v>
                </c:pt>
                <c:pt idx="247">
                  <c:v>3834</c:v>
                </c:pt>
                <c:pt idx="248">
                  <c:v>6177</c:v>
                </c:pt>
                <c:pt idx="249">
                  <c:v>8252</c:v>
                </c:pt>
                <c:pt idx="250">
                  <c:v>4312</c:v>
                </c:pt>
                <c:pt idx="251">
                  <c:v>9480</c:v>
                </c:pt>
                <c:pt idx="252">
                  <c:v>9374</c:v>
                </c:pt>
                <c:pt idx="253">
                  <c:v>4460</c:v>
                </c:pt>
                <c:pt idx="254">
                  <c:v>2471</c:v>
                </c:pt>
                <c:pt idx="255">
                  <c:v>9225</c:v>
                </c:pt>
                <c:pt idx="256">
                  <c:v>4366</c:v>
                </c:pt>
                <c:pt idx="257">
                  <c:v>2834</c:v>
                </c:pt>
                <c:pt idx="258">
                  <c:v>5285</c:v>
                </c:pt>
                <c:pt idx="259">
                  <c:v>3152</c:v>
                </c:pt>
                <c:pt idx="260">
                  <c:v>7745</c:v>
                </c:pt>
                <c:pt idx="261">
                  <c:v>9283</c:v>
                </c:pt>
                <c:pt idx="262">
                  <c:v>5317</c:v>
                </c:pt>
                <c:pt idx="263">
                  <c:v>6545</c:v>
                </c:pt>
                <c:pt idx="264">
                  <c:v>4355</c:v>
                </c:pt>
                <c:pt idx="265">
                  <c:v>5955</c:v>
                </c:pt>
                <c:pt idx="266">
                  <c:v>2378</c:v>
                </c:pt>
                <c:pt idx="267">
                  <c:v>7455</c:v>
                </c:pt>
                <c:pt idx="268">
                  <c:v>6015</c:v>
                </c:pt>
                <c:pt idx="269">
                  <c:v>9175</c:v>
                </c:pt>
                <c:pt idx="270">
                  <c:v>12870</c:v>
                </c:pt>
                <c:pt idx="271">
                  <c:v>10054</c:v>
                </c:pt>
                <c:pt idx="272">
                  <c:v>7374</c:v>
                </c:pt>
                <c:pt idx="273">
                  <c:v>9908</c:v>
                </c:pt>
                <c:pt idx="274">
                  <c:v>11695</c:v>
                </c:pt>
                <c:pt idx="275">
                  <c:v>2515</c:v>
                </c:pt>
                <c:pt idx="276">
                  <c:v>4423</c:v>
                </c:pt>
                <c:pt idx="277">
                  <c:v>8773</c:v>
                </c:pt>
                <c:pt idx="278">
                  <c:v>6399</c:v>
                </c:pt>
                <c:pt idx="279">
                  <c:v>8512</c:v>
                </c:pt>
                <c:pt idx="280">
                  <c:v>8302</c:v>
                </c:pt>
                <c:pt idx="281">
                  <c:v>3043</c:v>
                </c:pt>
                <c:pt idx="282">
                  <c:v>9172</c:v>
                </c:pt>
                <c:pt idx="283">
                  <c:v>4423</c:v>
                </c:pt>
                <c:pt idx="284">
                  <c:v>2863</c:v>
                </c:pt>
                <c:pt idx="285">
                  <c:v>7446</c:v>
                </c:pt>
                <c:pt idx="286">
                  <c:v>5787</c:v>
                </c:pt>
                <c:pt idx="287">
                  <c:v>5957</c:v>
                </c:pt>
                <c:pt idx="288">
                  <c:v>7576</c:v>
                </c:pt>
                <c:pt idx="289">
                  <c:v>4022</c:v>
                </c:pt>
                <c:pt idx="290">
                  <c:v>8052</c:v>
                </c:pt>
                <c:pt idx="291">
                  <c:v>1814</c:v>
                </c:pt>
                <c:pt idx="292">
                  <c:v>3853</c:v>
                </c:pt>
                <c:pt idx="293">
                  <c:v>3135</c:v>
                </c:pt>
                <c:pt idx="294">
                  <c:v>8303</c:v>
                </c:pt>
                <c:pt idx="295">
                  <c:v>5639</c:v>
                </c:pt>
                <c:pt idx="296">
                  <c:v>971</c:v>
                </c:pt>
                <c:pt idx="297">
                  <c:v>4022</c:v>
                </c:pt>
                <c:pt idx="298">
                  <c:v>9545</c:v>
                </c:pt>
                <c:pt idx="299">
                  <c:v>8564</c:v>
                </c:pt>
                <c:pt idx="300">
                  <c:v>3988</c:v>
                </c:pt>
                <c:pt idx="301">
                  <c:v>7888</c:v>
                </c:pt>
                <c:pt idx="302">
                  <c:v>6821</c:v>
                </c:pt>
                <c:pt idx="303">
                  <c:v>9113</c:v>
                </c:pt>
                <c:pt idx="304">
                  <c:v>6896</c:v>
                </c:pt>
                <c:pt idx="305">
                  <c:v>8927</c:v>
                </c:pt>
                <c:pt idx="306">
                  <c:v>1906</c:v>
                </c:pt>
                <c:pt idx="307">
                  <c:v>9458</c:v>
                </c:pt>
                <c:pt idx="308">
                  <c:v>8487</c:v>
                </c:pt>
                <c:pt idx="309">
                  <c:v>9619</c:v>
                </c:pt>
                <c:pt idx="310">
                  <c:v>1462</c:v>
                </c:pt>
                <c:pt idx="311">
                  <c:v>2822</c:v>
                </c:pt>
                <c:pt idx="312">
                  <c:v>4377</c:v>
                </c:pt>
                <c:pt idx="313">
                  <c:v>3279</c:v>
                </c:pt>
                <c:pt idx="314">
                  <c:v>5400</c:v>
                </c:pt>
                <c:pt idx="315">
                  <c:v>5804</c:v>
                </c:pt>
                <c:pt idx="316">
                  <c:v>9429</c:v>
                </c:pt>
                <c:pt idx="317">
                  <c:v>9431</c:v>
                </c:pt>
                <c:pt idx="318">
                  <c:v>5145</c:v>
                </c:pt>
                <c:pt idx="319">
                  <c:v>9628</c:v>
                </c:pt>
              </c:numCache>
            </c:numRef>
          </c:xVal>
          <c:yVal>
            <c:numRef>
              <c:f>Simple_Regression_Footfall!$C$25:$C$344</c:f>
              <c:numCache>
                <c:formatCode>General</c:formatCode>
                <c:ptCount val="320"/>
                <c:pt idx="0">
                  <c:v>122240.73681790812</c:v>
                </c:pt>
                <c:pt idx="1">
                  <c:v>92976.690056692227</c:v>
                </c:pt>
                <c:pt idx="2">
                  <c:v>73199.942999396706</c:v>
                </c:pt>
                <c:pt idx="3">
                  <c:v>105356.95704194787</c:v>
                </c:pt>
                <c:pt idx="4">
                  <c:v>115142.50076470396</c:v>
                </c:pt>
                <c:pt idx="5">
                  <c:v>102386.41335793689</c:v>
                </c:pt>
                <c:pt idx="6">
                  <c:v>113357.98654294631</c:v>
                </c:pt>
                <c:pt idx="7">
                  <c:v>27524.099091473385</c:v>
                </c:pt>
                <c:pt idx="8">
                  <c:v>90471.033836075687</c:v>
                </c:pt>
                <c:pt idx="9">
                  <c:v>107485.82941710169</c:v>
                </c:pt>
                <c:pt idx="10">
                  <c:v>76994.510761723504</c:v>
                </c:pt>
                <c:pt idx="11">
                  <c:v>42217.038798629306</c:v>
                </c:pt>
                <c:pt idx="12">
                  <c:v>87051.723728526267</c:v>
                </c:pt>
                <c:pt idx="13">
                  <c:v>70778.469163130387</c:v>
                </c:pt>
                <c:pt idx="14">
                  <c:v>106144.44964424951</c:v>
                </c:pt>
                <c:pt idx="15">
                  <c:v>99282.463806144078</c:v>
                </c:pt>
                <c:pt idx="16">
                  <c:v>30076.649954975932</c:v>
                </c:pt>
                <c:pt idx="17">
                  <c:v>97224.776034876122</c:v>
                </c:pt>
                <c:pt idx="18">
                  <c:v>37309.061529598432</c:v>
                </c:pt>
                <c:pt idx="19">
                  <c:v>108027.77603202313</c:v>
                </c:pt>
                <c:pt idx="20">
                  <c:v>68089.392369002569</c:v>
                </c:pt>
                <c:pt idx="21">
                  <c:v>82427.503806144116</c:v>
                </c:pt>
                <c:pt idx="22">
                  <c:v>88420.600217761006</c:v>
                </c:pt>
                <c:pt idx="23">
                  <c:v>98852.417585655348</c:v>
                </c:pt>
                <c:pt idx="24">
                  <c:v>12098.160468751797</c:v>
                </c:pt>
                <c:pt idx="25">
                  <c:v>67717.032635023235</c:v>
                </c:pt>
                <c:pt idx="26">
                  <c:v>75976.359808553942</c:v>
                </c:pt>
                <c:pt idx="27">
                  <c:v>50126.685580835561</c:v>
                </c:pt>
                <c:pt idx="28">
                  <c:v>91140.412661974318</c:v>
                </c:pt>
                <c:pt idx="29">
                  <c:v>58831.377899489598</c:v>
                </c:pt>
                <c:pt idx="30">
                  <c:v>63996.694953421946</c:v>
                </c:pt>
                <c:pt idx="31">
                  <c:v>56336.358747962746</c:v>
                </c:pt>
                <c:pt idx="32">
                  <c:v>40351.414971432067</c:v>
                </c:pt>
                <c:pt idx="33">
                  <c:v>6897.5239256150089</c:v>
                </c:pt>
                <c:pt idx="34">
                  <c:v>48426.642037413432</c:v>
                </c:pt>
                <c:pt idx="35">
                  <c:v>58860.9084460499</c:v>
                </c:pt>
                <c:pt idx="36">
                  <c:v>98099.984866735409</c:v>
                </c:pt>
                <c:pt idx="37">
                  <c:v>78940.02172668709</c:v>
                </c:pt>
                <c:pt idx="38">
                  <c:v>113841.49419461587</c:v>
                </c:pt>
                <c:pt idx="39">
                  <c:v>94875.82437071437</c:v>
                </c:pt>
                <c:pt idx="40">
                  <c:v>54165.867576586432</c:v>
                </c:pt>
                <c:pt idx="41">
                  <c:v>40177.241362186032</c:v>
                </c:pt>
                <c:pt idx="42">
                  <c:v>54423.020815370604</c:v>
                </c:pt>
                <c:pt idx="43">
                  <c:v>22763.288610354299</c:v>
                </c:pt>
                <c:pt idx="44">
                  <c:v>46761.043375819339</c:v>
                </c:pt>
                <c:pt idx="45">
                  <c:v>59530.432572307298</c:v>
                </c:pt>
                <c:pt idx="46">
                  <c:v>7852.244066203828</c:v>
                </c:pt>
                <c:pt idx="47">
                  <c:v>70915.191684833961</c:v>
                </c:pt>
                <c:pt idx="48">
                  <c:v>68544.565395668498</c:v>
                </c:pt>
                <c:pt idx="49">
                  <c:v>49939.748777766596</c:v>
                </c:pt>
                <c:pt idx="50">
                  <c:v>87018.31659672095</c:v>
                </c:pt>
                <c:pt idx="51">
                  <c:v>92462.013919526595</c:v>
                </c:pt>
                <c:pt idx="52">
                  <c:v>90230.598141411785</c:v>
                </c:pt>
                <c:pt idx="53">
                  <c:v>-5875.3667226613034</c:v>
                </c:pt>
                <c:pt idx="54">
                  <c:v>52320.494612891693</c:v>
                </c:pt>
                <c:pt idx="55">
                  <c:v>87254.035359903821</c:v>
                </c:pt>
                <c:pt idx="56">
                  <c:v>77641.897669361439</c:v>
                </c:pt>
                <c:pt idx="57">
                  <c:v>-18747.900278132642</c:v>
                </c:pt>
                <c:pt idx="58">
                  <c:v>104815.98062411509</c:v>
                </c:pt>
                <c:pt idx="59">
                  <c:v>31989.595810963772</c:v>
                </c:pt>
                <c:pt idx="60">
                  <c:v>4009.4769969867775</c:v>
                </c:pt>
                <c:pt idx="61">
                  <c:v>-4287.9155214811908</c:v>
                </c:pt>
                <c:pt idx="62">
                  <c:v>29412.591012714431</c:v>
                </c:pt>
                <c:pt idx="63">
                  <c:v>79801.947003075038</c:v>
                </c:pt>
                <c:pt idx="64">
                  <c:v>14200.386811819626</c:v>
                </c:pt>
                <c:pt idx="65">
                  <c:v>74164.631048479117</c:v>
                </c:pt>
                <c:pt idx="66">
                  <c:v>42697.151365038822</c:v>
                </c:pt>
                <c:pt idx="67">
                  <c:v>79261.041365166311</c:v>
                </c:pt>
                <c:pt idx="68">
                  <c:v>-41447.187666762155</c:v>
                </c:pt>
                <c:pt idx="69">
                  <c:v>21772.482384032104</c:v>
                </c:pt>
                <c:pt idx="70">
                  <c:v>34131.064341165533</c:v>
                </c:pt>
                <c:pt idx="71">
                  <c:v>26622.331720598624</c:v>
                </c:pt>
                <c:pt idx="72">
                  <c:v>-4479.5829580521677</c:v>
                </c:pt>
                <c:pt idx="73">
                  <c:v>6677.9104538499378</c:v>
                </c:pt>
                <c:pt idx="74">
                  <c:v>5168.6872540661134</c:v>
                </c:pt>
                <c:pt idx="75">
                  <c:v>-2471.0313716358505</c:v>
                </c:pt>
                <c:pt idx="76">
                  <c:v>32730.985509178485</c:v>
                </c:pt>
                <c:pt idx="77">
                  <c:v>-41645.584344526986</c:v>
                </c:pt>
                <c:pt idx="78">
                  <c:v>14213.540334379068</c:v>
                </c:pt>
                <c:pt idx="79">
                  <c:v>-19678.578554235399</c:v>
                </c:pt>
                <c:pt idx="80">
                  <c:v>-8339.1132151315687</c:v>
                </c:pt>
                <c:pt idx="81">
                  <c:v>-28899.129205364618</c:v>
                </c:pt>
                <c:pt idx="82">
                  <c:v>67564.212264561327</c:v>
                </c:pt>
                <c:pt idx="83">
                  <c:v>32669.506632613251</c:v>
                </c:pt>
                <c:pt idx="84">
                  <c:v>19971.170113064349</c:v>
                </c:pt>
                <c:pt idx="85">
                  <c:v>57608.782100129407</c:v>
                </c:pt>
                <c:pt idx="86">
                  <c:v>34826.211660990841</c:v>
                </c:pt>
                <c:pt idx="87">
                  <c:v>63717.068120293785</c:v>
                </c:pt>
                <c:pt idx="88">
                  <c:v>-41483.760821840027</c:v>
                </c:pt>
                <c:pt idx="89">
                  <c:v>-22452.774655253394</c:v>
                </c:pt>
                <c:pt idx="90">
                  <c:v>37518.093740320299</c:v>
                </c:pt>
                <c:pt idx="91">
                  <c:v>72409.183785281377</c:v>
                </c:pt>
                <c:pt idx="92">
                  <c:v>-9952.5636932703201</c:v>
                </c:pt>
                <c:pt idx="93">
                  <c:v>15203.673340182169</c:v>
                </c:pt>
                <c:pt idx="94">
                  <c:v>27003.456620691693</c:v>
                </c:pt>
                <c:pt idx="95">
                  <c:v>32670.276865721913</c:v>
                </c:pt>
                <c:pt idx="96">
                  <c:v>31355.642476551933</c:v>
                </c:pt>
                <c:pt idx="97">
                  <c:v>-2711.2228686404414</c:v>
                </c:pt>
                <c:pt idx="98">
                  <c:v>35722.503534290357</c:v>
                </c:pt>
                <c:pt idx="99">
                  <c:v>17744.91302051465</c:v>
                </c:pt>
                <c:pt idx="100">
                  <c:v>54496.070125368773</c:v>
                </c:pt>
                <c:pt idx="101">
                  <c:v>38992.134529185481</c:v>
                </c:pt>
                <c:pt idx="102">
                  <c:v>46705.606091886293</c:v>
                </c:pt>
                <c:pt idx="103">
                  <c:v>17726.815936395433</c:v>
                </c:pt>
                <c:pt idx="104">
                  <c:v>-3478.3842815560056</c:v>
                </c:pt>
                <c:pt idx="105">
                  <c:v>-20145.570472113264</c:v>
                </c:pt>
                <c:pt idx="106">
                  <c:v>29501.466755064554</c:v>
                </c:pt>
                <c:pt idx="107">
                  <c:v>-11262.057242397917</c:v>
                </c:pt>
                <c:pt idx="108">
                  <c:v>35431.21746022359</c:v>
                </c:pt>
                <c:pt idx="109">
                  <c:v>26511.621643108549</c:v>
                </c:pt>
                <c:pt idx="110">
                  <c:v>19080.80145172542</c:v>
                </c:pt>
                <c:pt idx="111">
                  <c:v>28417.307567772921</c:v>
                </c:pt>
                <c:pt idx="112">
                  <c:v>-1223.98518095084</c:v>
                </c:pt>
                <c:pt idx="113">
                  <c:v>57882.492673768196</c:v>
                </c:pt>
                <c:pt idx="114">
                  <c:v>28828.027899489622</c:v>
                </c:pt>
                <c:pt idx="115">
                  <c:v>76111.860283712274</c:v>
                </c:pt>
                <c:pt idx="116">
                  <c:v>22071.927460095962</c:v>
                </c:pt>
                <c:pt idx="117">
                  <c:v>6407.251502647181</c:v>
                </c:pt>
                <c:pt idx="118">
                  <c:v>51897.000630203518</c:v>
                </c:pt>
                <c:pt idx="119">
                  <c:v>20425.546094739111</c:v>
                </c:pt>
                <c:pt idx="120">
                  <c:v>44519.567872538581</c:v>
                </c:pt>
                <c:pt idx="121">
                  <c:v>4921.3776244003093</c:v>
                </c:pt>
                <c:pt idx="122">
                  <c:v>-30639.590400711517</c:v>
                </c:pt>
                <c:pt idx="123">
                  <c:v>62702.808553726762</c:v>
                </c:pt>
                <c:pt idx="124">
                  <c:v>-10502.079462316236</c:v>
                </c:pt>
                <c:pt idx="125">
                  <c:v>-6397.1515238910215</c:v>
                </c:pt>
                <c:pt idx="126">
                  <c:v>10210.116202288307</c:v>
                </c:pt>
                <c:pt idx="127">
                  <c:v>-26358.577505565714</c:v>
                </c:pt>
                <c:pt idx="128">
                  <c:v>22120.716659564408</c:v>
                </c:pt>
                <c:pt idx="129">
                  <c:v>39775.524830843089</c:v>
                </c:pt>
                <c:pt idx="130">
                  <c:v>14851.697448174469</c:v>
                </c:pt>
                <c:pt idx="131">
                  <c:v>-7095.6431732784258</c:v>
                </c:pt>
                <c:pt idx="132">
                  <c:v>-28445.740547006018</c:v>
                </c:pt>
                <c:pt idx="133">
                  <c:v>26173.711873236694</c:v>
                </c:pt>
                <c:pt idx="134">
                  <c:v>4121.1233789272374</c:v>
                </c:pt>
                <c:pt idx="135">
                  <c:v>-1898.8787125790259</c:v>
                </c:pt>
                <c:pt idx="136">
                  <c:v>16577.70638758305</c:v>
                </c:pt>
                <c:pt idx="137">
                  <c:v>5702.7128024355043</c:v>
                </c:pt>
                <c:pt idx="138">
                  <c:v>31444.395864738501</c:v>
                </c:pt>
                <c:pt idx="139">
                  <c:v>44693.333851105184</c:v>
                </c:pt>
                <c:pt idx="140">
                  <c:v>7306.8384639322758</c:v>
                </c:pt>
                <c:pt idx="141">
                  <c:v>-8750.1353482356062</c:v>
                </c:pt>
                <c:pt idx="142">
                  <c:v>-10506.033953074715</c:v>
                </c:pt>
                <c:pt idx="143">
                  <c:v>36843.567463076441</c:v>
                </c:pt>
                <c:pt idx="144">
                  <c:v>15046.451741716592</c:v>
                </c:pt>
                <c:pt idx="145">
                  <c:v>2581.8797967600403</c:v>
                </c:pt>
                <c:pt idx="146">
                  <c:v>-18228.172958052135</c:v>
                </c:pt>
                <c:pt idx="147">
                  <c:v>-24013.315375186736</c:v>
                </c:pt>
                <c:pt idx="148">
                  <c:v>-10284.615626305342</c:v>
                </c:pt>
                <c:pt idx="149">
                  <c:v>-26268.923612289247</c:v>
                </c:pt>
                <c:pt idx="150">
                  <c:v>-18059.151036938769</c:v>
                </c:pt>
                <c:pt idx="151">
                  <c:v>-30178.556839024182</c:v>
                </c:pt>
                <c:pt idx="152">
                  <c:v>43195.806775927427</c:v>
                </c:pt>
                <c:pt idx="153">
                  <c:v>-33225.218631725525</c:v>
                </c:pt>
                <c:pt idx="154">
                  <c:v>-10506.533842545003</c:v>
                </c:pt>
                <c:pt idx="155">
                  <c:v>11612.157636449556</c:v>
                </c:pt>
                <c:pt idx="156">
                  <c:v>-11307.275554393069</c:v>
                </c:pt>
                <c:pt idx="157">
                  <c:v>-56093.886695837835</c:v>
                </c:pt>
                <c:pt idx="158">
                  <c:v>111.02497713756748</c:v>
                </c:pt>
                <c:pt idx="159">
                  <c:v>24472.065455403877</c:v>
                </c:pt>
                <c:pt idx="160">
                  <c:v>-15781.657612987445</c:v>
                </c:pt>
                <c:pt idx="161">
                  <c:v>-16862.345402137958</c:v>
                </c:pt>
                <c:pt idx="162">
                  <c:v>-44372.742145343916</c:v>
                </c:pt>
                <c:pt idx="163">
                  <c:v>-9967.7246851850068</c:v>
                </c:pt>
                <c:pt idx="164">
                  <c:v>-38167.794598498382</c:v>
                </c:pt>
                <c:pt idx="165">
                  <c:v>-21345.345040489687</c:v>
                </c:pt>
                <c:pt idx="166">
                  <c:v>-21958.554481752682</c:v>
                </c:pt>
                <c:pt idx="167">
                  <c:v>-42564.376382130897</c:v>
                </c:pt>
                <c:pt idx="168">
                  <c:v>22317.245978121064</c:v>
                </c:pt>
                <c:pt idx="169">
                  <c:v>-18553.020801104838</c:v>
                </c:pt>
                <c:pt idx="170">
                  <c:v>5032.8529727006098</c:v>
                </c:pt>
                <c:pt idx="171">
                  <c:v>-34379.409767209552</c:v>
                </c:pt>
                <c:pt idx="172">
                  <c:v>10977.938481814577</c:v>
                </c:pt>
                <c:pt idx="173">
                  <c:v>-17265.579325090745</c:v>
                </c:pt>
                <c:pt idx="174">
                  <c:v>802.43556580611039</c:v>
                </c:pt>
                <c:pt idx="175">
                  <c:v>11691.115861758008</c:v>
                </c:pt>
                <c:pt idx="176">
                  <c:v>8640.0808156257845</c:v>
                </c:pt>
                <c:pt idx="177">
                  <c:v>23778.38313674985</c:v>
                </c:pt>
                <c:pt idx="178">
                  <c:v>-40365.189292178839</c:v>
                </c:pt>
                <c:pt idx="179">
                  <c:v>15419.871460666531</c:v>
                </c:pt>
                <c:pt idx="180">
                  <c:v>-35406.34381870192</c:v>
                </c:pt>
                <c:pt idx="181">
                  <c:v>-18607.703782681958</c:v>
                </c:pt>
                <c:pt idx="182">
                  <c:v>33037.355362884118</c:v>
                </c:pt>
                <c:pt idx="183">
                  <c:v>-56968.162990836485</c:v>
                </c:pt>
                <c:pt idx="184">
                  <c:v>-4342.9317062053597</c:v>
                </c:pt>
                <c:pt idx="185">
                  <c:v>-28364.254102349631</c:v>
                </c:pt>
                <c:pt idx="186">
                  <c:v>-22624.650179652148</c:v>
                </c:pt>
                <c:pt idx="187">
                  <c:v>-18562.735975776915</c:v>
                </c:pt>
                <c:pt idx="188">
                  <c:v>3205.5527276705252</c:v>
                </c:pt>
                <c:pt idx="189">
                  <c:v>-32037.928213577485</c:v>
                </c:pt>
                <c:pt idx="190">
                  <c:v>2950.8429785339395</c:v>
                </c:pt>
                <c:pt idx="191">
                  <c:v>-7034.1122917658649</c:v>
                </c:pt>
                <c:pt idx="192">
                  <c:v>-53699.278031390742</c:v>
                </c:pt>
                <c:pt idx="193">
                  <c:v>40564.914621705189</c:v>
                </c:pt>
                <c:pt idx="194">
                  <c:v>-54614.297140937066</c:v>
                </c:pt>
                <c:pt idx="195">
                  <c:v>22064.739226101548</c:v>
                </c:pt>
                <c:pt idx="196">
                  <c:v>-25350.839396620169</c:v>
                </c:pt>
                <c:pt idx="197">
                  <c:v>-7515.4882913229521</c:v>
                </c:pt>
                <c:pt idx="198">
                  <c:v>-11581.412408256438</c:v>
                </c:pt>
                <c:pt idx="199">
                  <c:v>-23342.063881290145</c:v>
                </c:pt>
                <c:pt idx="200">
                  <c:v>-38844.626253718976</c:v>
                </c:pt>
                <c:pt idx="201">
                  <c:v>-37069.630726212286</c:v>
                </c:pt>
                <c:pt idx="202">
                  <c:v>25596.993522241246</c:v>
                </c:pt>
                <c:pt idx="203">
                  <c:v>-8076.131759979995</c:v>
                </c:pt>
                <c:pt idx="204">
                  <c:v>-13269.462151559768</c:v>
                </c:pt>
                <c:pt idx="205">
                  <c:v>-6531.6055306775961</c:v>
                </c:pt>
                <c:pt idx="206">
                  <c:v>76570.010331398575</c:v>
                </c:pt>
                <c:pt idx="207">
                  <c:v>2968.9454762665555</c:v>
                </c:pt>
                <c:pt idx="208">
                  <c:v>-40652.982085480762</c:v>
                </c:pt>
                <c:pt idx="209">
                  <c:v>859.21490548050497</c:v>
                </c:pt>
                <c:pt idx="210">
                  <c:v>5680.7025154246949</c:v>
                </c:pt>
                <c:pt idx="211">
                  <c:v>-37900.184995783726</c:v>
                </c:pt>
                <c:pt idx="212">
                  <c:v>-32379.511954343528</c:v>
                </c:pt>
                <c:pt idx="213">
                  <c:v>5114.4522136395099</c:v>
                </c:pt>
                <c:pt idx="214">
                  <c:v>-10279.347974635661</c:v>
                </c:pt>
                <c:pt idx="215">
                  <c:v>-56874.359247217653</c:v>
                </c:pt>
                <c:pt idx="216">
                  <c:v>2795.8824555615429</c:v>
                </c:pt>
                <c:pt idx="217">
                  <c:v>18379.836020101793</c:v>
                </c:pt>
                <c:pt idx="218">
                  <c:v>-4878.1388500599423</c:v>
                </c:pt>
                <c:pt idx="219">
                  <c:v>29567.578921208275</c:v>
                </c:pt>
                <c:pt idx="220">
                  <c:v>-12552.59965071897</c:v>
                </c:pt>
                <c:pt idx="221">
                  <c:v>-19070.074362409301</c:v>
                </c:pt>
                <c:pt idx="222">
                  <c:v>-22513.90052005474</c:v>
                </c:pt>
                <c:pt idx="223">
                  <c:v>12629.392070452916</c:v>
                </c:pt>
                <c:pt idx="224">
                  <c:v>-56191.777212721761</c:v>
                </c:pt>
                <c:pt idx="225">
                  <c:v>-22989.800561907934</c:v>
                </c:pt>
                <c:pt idx="226">
                  <c:v>22577.68098576332</c:v>
                </c:pt>
                <c:pt idx="227">
                  <c:v>-5699.5135287106968</c:v>
                </c:pt>
                <c:pt idx="228">
                  <c:v>-58321.902324805269</c:v>
                </c:pt>
                <c:pt idx="229">
                  <c:v>-18373.261736264452</c:v>
                </c:pt>
                <c:pt idx="230">
                  <c:v>1268.7074900274165</c:v>
                </c:pt>
                <c:pt idx="231">
                  <c:v>-33934.52319724916</c:v>
                </c:pt>
                <c:pt idx="232">
                  <c:v>-21565.007637085859</c:v>
                </c:pt>
                <c:pt idx="233">
                  <c:v>-37012.705345382914</c:v>
                </c:pt>
                <c:pt idx="234">
                  <c:v>-16328.048129871255</c:v>
                </c:pt>
                <c:pt idx="235">
                  <c:v>31182.376360632014</c:v>
                </c:pt>
                <c:pt idx="236">
                  <c:v>-15803.672814610531</c:v>
                </c:pt>
                <c:pt idx="237">
                  <c:v>-22144.249127746793</c:v>
                </c:pt>
                <c:pt idx="238">
                  <c:v>-40440.155939884484</c:v>
                </c:pt>
                <c:pt idx="239">
                  <c:v>-2407.8107321730349</c:v>
                </c:pt>
                <c:pt idx="240">
                  <c:v>-9343.0120677259983</c:v>
                </c:pt>
                <c:pt idx="241">
                  <c:v>-28223.667114113458</c:v>
                </c:pt>
                <c:pt idx="242">
                  <c:v>22501.300651193829</c:v>
                </c:pt>
                <c:pt idx="243">
                  <c:v>-42503.064676116221</c:v>
                </c:pt>
                <c:pt idx="244">
                  <c:v>-48374.73633406189</c:v>
                </c:pt>
                <c:pt idx="245">
                  <c:v>17753.550645233016</c:v>
                </c:pt>
                <c:pt idx="246">
                  <c:v>-46279.034670027788</c:v>
                </c:pt>
                <c:pt idx="247">
                  <c:v>-36976.454066457343</c:v>
                </c:pt>
                <c:pt idx="248">
                  <c:v>-23364.930869653937</c:v>
                </c:pt>
                <c:pt idx="249">
                  <c:v>-59985.335345382919</c:v>
                </c:pt>
                <c:pt idx="250">
                  <c:v>-22521.682919179439</c:v>
                </c:pt>
                <c:pt idx="251">
                  <c:v>-63274.20750258537</c:v>
                </c:pt>
                <c:pt idx="252">
                  <c:v>-41024.716208885424</c:v>
                </c:pt>
                <c:pt idx="253">
                  <c:v>-5931.2015179301379</c:v>
                </c:pt>
                <c:pt idx="254">
                  <c:v>-34397.977714448352</c:v>
                </c:pt>
                <c:pt idx="255">
                  <c:v>-78252.519579062006</c:v>
                </c:pt>
                <c:pt idx="256">
                  <c:v>-28114.256597102038</c:v>
                </c:pt>
                <c:pt idx="257">
                  <c:v>-68471.622993816854</c:v>
                </c:pt>
                <c:pt idx="258">
                  <c:v>-98444.137152858661</c:v>
                </c:pt>
                <c:pt idx="259">
                  <c:v>-21809.406874916516</c:v>
                </c:pt>
                <c:pt idx="260">
                  <c:v>-36906.693591554184</c:v>
                </c:pt>
                <c:pt idx="261">
                  <c:v>-105741.15538127522</c:v>
                </c:pt>
                <c:pt idx="262">
                  <c:v>-76449.834147183108</c:v>
                </c:pt>
                <c:pt idx="263">
                  <c:v>-82954.026304385625</c:v>
                </c:pt>
                <c:pt idx="264">
                  <c:v>-46230.638255303027</c:v>
                </c:pt>
                <c:pt idx="265">
                  <c:v>-59968.35797152773</c:v>
                </c:pt>
                <c:pt idx="266">
                  <c:v>-13203.680824692827</c:v>
                </c:pt>
                <c:pt idx="267">
                  <c:v>-61910.244580488419</c:v>
                </c:pt>
                <c:pt idx="268">
                  <c:v>-10218.449835886131</c:v>
                </c:pt>
                <c:pt idx="269">
                  <c:v>10746.161974570132</c:v>
                </c:pt>
                <c:pt idx="270">
                  <c:v>41246.697161163553</c:v>
                </c:pt>
                <c:pt idx="271">
                  <c:v>-78511.227338280994</c:v>
                </c:pt>
                <c:pt idx="272">
                  <c:v>-30269.524063604535</c:v>
                </c:pt>
                <c:pt idx="273">
                  <c:v>-78829.164801675477</c:v>
                </c:pt>
                <c:pt idx="274">
                  <c:v>-64187.396328483941</c:v>
                </c:pt>
                <c:pt idx="275">
                  <c:v>-35842.351081644534</c:v>
                </c:pt>
                <c:pt idx="276">
                  <c:v>-46727.254368242575</c:v>
                </c:pt>
                <c:pt idx="277">
                  <c:v>-35882.549534228514</c:v>
                </c:pt>
                <c:pt idx="278">
                  <c:v>-23550.123767780024</c:v>
                </c:pt>
                <c:pt idx="279">
                  <c:v>-65884.663424269413</c:v>
                </c:pt>
                <c:pt idx="280">
                  <c:v>-83776.976899014902</c:v>
                </c:pt>
                <c:pt idx="281">
                  <c:v>-27678.701487998711</c:v>
                </c:pt>
                <c:pt idx="282">
                  <c:v>-50588.723932211986</c:v>
                </c:pt>
                <c:pt idx="283">
                  <c:v>-50202.444368242635</c:v>
                </c:pt>
                <c:pt idx="284">
                  <c:v>-61091.875894923403</c:v>
                </c:pt>
                <c:pt idx="285">
                  <c:v>-118726.2023008347</c:v>
                </c:pt>
                <c:pt idx="286">
                  <c:v>-40489.208751324099</c:v>
                </c:pt>
                <c:pt idx="287">
                  <c:v>-87981.304033672903</c:v>
                </c:pt>
                <c:pt idx="288">
                  <c:v>-123070.20634027792</c:v>
                </c:pt>
                <c:pt idx="289">
                  <c:v>-65008.053908113739</c:v>
                </c:pt>
                <c:pt idx="290">
                  <c:v>-73056.099130854709</c:v>
                </c:pt>
                <c:pt idx="291">
                  <c:v>-110298.88129972358</c:v>
                </c:pt>
                <c:pt idx="292">
                  <c:v>-74393.226656837447</c:v>
                </c:pt>
                <c:pt idx="293">
                  <c:v>-108796.15034668165</c:v>
                </c:pt>
                <c:pt idx="294">
                  <c:v>-66727.644930087496</c:v>
                </c:pt>
                <c:pt idx="295">
                  <c:v>-27334.800152573385</c:v>
                </c:pt>
                <c:pt idx="296">
                  <c:v>-53136.571105487645</c:v>
                </c:pt>
                <c:pt idx="297">
                  <c:v>27383.526091886335</c:v>
                </c:pt>
                <c:pt idx="298">
                  <c:v>-45615.949522307026</c:v>
                </c:pt>
                <c:pt idx="299">
                  <c:v>-78880.901040046709</c:v>
                </c:pt>
                <c:pt idx="300">
                  <c:v>-76850.160851643945</c:v>
                </c:pt>
                <c:pt idx="301">
                  <c:v>-94200.862034941674</c:v>
                </c:pt>
                <c:pt idx="302">
                  <c:v>-58940.49288043438</c:v>
                </c:pt>
                <c:pt idx="303">
                  <c:v>-92822.420098926174</c:v>
                </c:pt>
                <c:pt idx="304">
                  <c:v>-85361.365210882388</c:v>
                </c:pt>
                <c:pt idx="305">
                  <c:v>35543.573680584785</c:v>
                </c:pt>
                <c:pt idx="306">
                  <c:v>-73137.490158406494</c:v>
                </c:pt>
                <c:pt idx="307">
                  <c:v>-92565.21081898734</c:v>
                </c:pt>
                <c:pt idx="308">
                  <c:v>-114774.03264745336</c:v>
                </c:pt>
                <c:pt idx="309">
                  <c:v>-64362.283821682329</c:v>
                </c:pt>
                <c:pt idx="310">
                  <c:v>-96989.28436215414</c:v>
                </c:pt>
                <c:pt idx="311">
                  <c:v>-131372.16662094515</c:v>
                </c:pt>
                <c:pt idx="312">
                  <c:v>-48816.89493890095</c:v>
                </c:pt>
                <c:pt idx="313">
                  <c:v>-99864.596821141895</c:v>
                </c:pt>
                <c:pt idx="314">
                  <c:v>-11900.050726212212</c:v>
                </c:pt>
                <c:pt idx="315">
                  <c:v>-115109.87527955906</c:v>
                </c:pt>
                <c:pt idx="316">
                  <c:v>-140953.70791788062</c:v>
                </c:pt>
                <c:pt idx="317">
                  <c:v>-123969.79398002592</c:v>
                </c:pt>
                <c:pt idx="318">
                  <c:v>-34506.452802688931</c:v>
                </c:pt>
                <c:pt idx="319">
                  <c:v>-104539.58610133617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CB-42D0-B424-9583A6EB2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224703"/>
        <c:axId val="1002233823"/>
      </c:scatterChart>
      <c:valAx>
        <c:axId val="1002224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footfall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2233823"/>
        <c:crosses val="autoZero"/>
        <c:crossBetween val="midCat"/>
      </c:valAx>
      <c:valAx>
        <c:axId val="10022338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222470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15</xdr:col>
      <xdr:colOff>247650</xdr:colOff>
      <xdr:row>10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A664F8-DE04-0C2E-1DF8-8D40F765E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1</xdr:row>
      <xdr:rowOff>0</xdr:rowOff>
    </xdr:from>
    <xdr:to>
      <xdr:col>18</xdr:col>
      <xdr:colOff>450850</xdr:colOff>
      <xdr:row>21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93CF63-7818-E51A-C4CC-07A18FB345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6D9E-535E-4A50-8F2B-788A5201E3F2}">
  <dimension ref="A1:N321"/>
  <sheetViews>
    <sheetView workbookViewId="0">
      <selection activeCell="G13" sqref="G13"/>
    </sheetView>
  </sheetViews>
  <sheetFormatPr defaultRowHeight="14.5"/>
  <cols>
    <col min="1" max="1" width="11.36328125" customWidth="1"/>
    <col min="2" max="2" width="12.08984375" customWidth="1"/>
    <col min="3" max="3" width="12.36328125" customWidth="1"/>
    <col min="4" max="4" width="17.90625" customWidth="1"/>
    <col min="5" max="5" width="17.7265625" customWidth="1"/>
    <col min="6" max="6" width="14.26953125" customWidth="1"/>
    <col min="7" max="7" width="13.453125" customWidth="1"/>
    <col min="8" max="8" width="14.26953125" customWidth="1"/>
    <col min="9" max="9" width="11.6328125" customWidth="1"/>
    <col min="10" max="10" width="13.90625" customWidth="1"/>
    <col min="11" max="11" width="12.90625" customWidth="1"/>
    <col min="12" max="12" width="10.54296875" customWidth="1"/>
    <col min="13" max="13" width="11" customWidth="1"/>
    <col min="14" max="14" width="16.453125" customWidth="1"/>
  </cols>
  <sheetData>
    <row r="1" spans="1:14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86DE3-96E7-41CB-A744-A8B2994C7EFC}">
  <dimension ref="A1:S321"/>
  <sheetViews>
    <sheetView workbookViewId="0">
      <selection activeCell="A3" sqref="A3"/>
    </sheetView>
  </sheetViews>
  <sheetFormatPr defaultRowHeight="14.5"/>
  <cols>
    <col min="1" max="1" width="11.36328125" customWidth="1"/>
    <col min="2" max="2" width="12.08984375" customWidth="1"/>
    <col min="3" max="3" width="12.36328125" customWidth="1"/>
    <col min="4" max="4" width="17.90625" customWidth="1"/>
    <col min="5" max="5" width="18.453125" customWidth="1"/>
    <col min="7" max="7" width="13.453125" customWidth="1"/>
    <col min="8" max="8" width="14.26953125" customWidth="1"/>
    <col min="9" max="9" width="11.6328125" customWidth="1"/>
    <col min="10" max="10" width="13.90625" customWidth="1"/>
    <col min="11" max="11" width="12.90625" customWidth="1"/>
    <col min="12" max="12" width="10.54296875" customWidth="1"/>
    <col min="13" max="13" width="18.453125" customWidth="1"/>
    <col min="14" max="14" width="16.453125" customWidth="1"/>
    <col min="15" max="15" width="23.453125" customWidth="1"/>
    <col min="16" max="16" width="22.90625" customWidth="1"/>
    <col min="17" max="17" width="21.7265625" customWidth="1"/>
    <col min="18" max="18" width="17.36328125" customWidth="1"/>
    <col min="19" max="19" width="17.1796875" customWidth="1"/>
  </cols>
  <sheetData>
    <row r="1" spans="1:19" ht="23" customHeight="1">
      <c r="A1" s="1" t="s">
        <v>0</v>
      </c>
      <c r="B1" s="1" t="s">
        <v>1</v>
      </c>
      <c r="C1" s="1" t="s">
        <v>2</v>
      </c>
      <c r="D1" s="1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</row>
    <row r="2" spans="1:19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  <c r="O2">
        <f>IF(ISBLANK(J2),#REF!,J2)</f>
        <v>5.28</v>
      </c>
      <c r="P2">
        <f>IF(ISBLANK(L2),#REF!,L2)</f>
        <v>3.1</v>
      </c>
      <c r="Q2">
        <f>IF(TRIM($C2)="North",1,0)</f>
        <v>0</v>
      </c>
      <c r="R2">
        <f>IF(TRIM($C2)="South",1,0)</f>
        <v>0</v>
      </c>
      <c r="S2">
        <f>IF(TRIM($C2)="West",1,0)</f>
        <v>0</v>
      </c>
    </row>
    <row r="3" spans="1:19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  <c r="O3">
        <f>IF(ISBLANK(J3),#REF!,J3)</f>
        <v>4.3099999999999996</v>
      </c>
      <c r="P3">
        <f>IF(ISBLANK(L3),#REF!,L3)</f>
        <v>2.8</v>
      </c>
      <c r="Q3">
        <f t="shared" ref="Q3:Q66" si="0">IF(TRIM($C3)="North",1,0)</f>
        <v>0</v>
      </c>
      <c r="R3">
        <f t="shared" ref="R3:R66" si="1">IF(TRIM($C3)="South",1,0)</f>
        <v>0</v>
      </c>
      <c r="S3">
        <f t="shared" ref="S3:S66" si="2">IF(TRIM($C3)="West",1,0)</f>
        <v>0</v>
      </c>
    </row>
    <row r="4" spans="1:19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  <c r="O4">
        <f>IF(ISBLANK(J4),#REF!,J4)</f>
        <v>12</v>
      </c>
      <c r="P4">
        <f>IF(ISBLANK(L4),#REF!,L4)</f>
        <v>3.2</v>
      </c>
      <c r="Q4">
        <f t="shared" si="0"/>
        <v>0</v>
      </c>
      <c r="R4">
        <f t="shared" si="1"/>
        <v>0</v>
      </c>
      <c r="S4">
        <f t="shared" si="2"/>
        <v>0</v>
      </c>
    </row>
    <row r="5" spans="1:19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  <c r="O5">
        <f>IF(ISBLANK(J5),#REF!,J5)</f>
        <v>4.97</v>
      </c>
      <c r="P5">
        <f>IF(ISBLANK(L5),#REF!,L5)</f>
        <v>3.4</v>
      </c>
      <c r="Q5">
        <f t="shared" si="0"/>
        <v>0</v>
      </c>
      <c r="R5">
        <f t="shared" si="1"/>
        <v>0</v>
      </c>
      <c r="S5">
        <f t="shared" si="2"/>
        <v>0</v>
      </c>
    </row>
    <row r="6" spans="1:19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  <c r="O6">
        <f>IF(ISBLANK(J6),#REF!,J6)</f>
        <v>6.94</v>
      </c>
      <c r="P6">
        <f>IF(ISBLANK(L6),#REF!,L6)</f>
        <v>4.2</v>
      </c>
      <c r="Q6">
        <f t="shared" si="0"/>
        <v>0</v>
      </c>
      <c r="R6">
        <f t="shared" si="1"/>
        <v>0</v>
      </c>
      <c r="S6">
        <f t="shared" si="2"/>
        <v>0</v>
      </c>
    </row>
    <row r="7" spans="1:19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  <c r="O7">
        <f>IF(ISBLANK(J7),#REF!,J7)</f>
        <v>2.88</v>
      </c>
      <c r="P7">
        <f>IF(ISBLANK(L7),#REF!,L7)</f>
        <v>4.2</v>
      </c>
      <c r="Q7">
        <f t="shared" si="0"/>
        <v>0</v>
      </c>
      <c r="R7">
        <f t="shared" si="1"/>
        <v>0</v>
      </c>
      <c r="S7">
        <f t="shared" si="2"/>
        <v>0</v>
      </c>
    </row>
    <row r="8" spans="1:19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  <c r="O8">
        <f>IF(ISBLANK(J8),#REF!,J8)</f>
        <v>0.2</v>
      </c>
      <c r="P8">
        <f>IF(ISBLANK(L8),#REF!,L8)</f>
        <v>4.0999999999999996</v>
      </c>
      <c r="Q8">
        <f t="shared" si="0"/>
        <v>0</v>
      </c>
      <c r="R8">
        <f t="shared" si="1"/>
        <v>0</v>
      </c>
      <c r="S8">
        <f t="shared" si="2"/>
        <v>0</v>
      </c>
    </row>
    <row r="9" spans="1:19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  <c r="O9">
        <f>IF(ISBLANK(J9),#REF!,J9)</f>
        <v>0.8</v>
      </c>
      <c r="P9">
        <f>IF(ISBLANK(L9),#REF!,L9)</f>
        <v>3.9</v>
      </c>
      <c r="Q9">
        <f t="shared" si="0"/>
        <v>0</v>
      </c>
      <c r="R9">
        <f t="shared" si="1"/>
        <v>0</v>
      </c>
      <c r="S9">
        <f t="shared" si="2"/>
        <v>0</v>
      </c>
    </row>
    <row r="10" spans="1:19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  <c r="O10">
        <f>IF(ISBLANK(J10),#REF!,J10)</f>
        <v>7.7</v>
      </c>
      <c r="P10">
        <f>IF(ISBLANK(L10),#REF!,L10)</f>
        <v>3.8</v>
      </c>
      <c r="Q10">
        <f t="shared" si="0"/>
        <v>1</v>
      </c>
      <c r="R10">
        <f t="shared" si="1"/>
        <v>0</v>
      </c>
      <c r="S10">
        <f t="shared" si="2"/>
        <v>0</v>
      </c>
    </row>
    <row r="11" spans="1:19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  <c r="O11">
        <f>IF(ISBLANK(J11),#REF!,J11)</f>
        <v>1.91</v>
      </c>
      <c r="P11">
        <f>IF(ISBLANK(L11),#REF!,L11)</f>
        <v>4.2</v>
      </c>
      <c r="Q11">
        <f t="shared" si="0"/>
        <v>1</v>
      </c>
      <c r="R11">
        <f t="shared" si="1"/>
        <v>0</v>
      </c>
      <c r="S11">
        <f t="shared" si="2"/>
        <v>0</v>
      </c>
    </row>
    <row r="12" spans="1:19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  <c r="O12">
        <f>IF(ISBLANK(J12),#REF!,J12)</f>
        <v>10.46</v>
      </c>
      <c r="P12">
        <f>IF(ISBLANK(L12),#REF!,L12)</f>
        <v>3.8</v>
      </c>
      <c r="Q12">
        <f t="shared" si="0"/>
        <v>1</v>
      </c>
      <c r="R12">
        <f t="shared" si="1"/>
        <v>0</v>
      </c>
      <c r="S12">
        <f t="shared" si="2"/>
        <v>0</v>
      </c>
    </row>
    <row r="13" spans="1:19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  <c r="O13">
        <f>IF(ISBLANK(J13),#REF!,J13)</f>
        <v>7.16</v>
      </c>
      <c r="P13">
        <f>IF(ISBLANK(L13),#REF!,L13)</f>
        <v>3.8</v>
      </c>
      <c r="Q13">
        <f t="shared" si="0"/>
        <v>1</v>
      </c>
      <c r="R13">
        <f t="shared" si="1"/>
        <v>0</v>
      </c>
      <c r="S13">
        <f t="shared" si="2"/>
        <v>0</v>
      </c>
    </row>
    <row r="14" spans="1:19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  <c r="O14">
        <f>IF(ISBLANK(J14),#REF!,J14)</f>
        <v>4.24</v>
      </c>
      <c r="P14">
        <f>IF(ISBLANK(L14),#REF!,L14)</f>
        <v>4.2</v>
      </c>
      <c r="Q14">
        <f t="shared" si="0"/>
        <v>0</v>
      </c>
      <c r="R14">
        <f t="shared" si="1"/>
        <v>0</v>
      </c>
      <c r="S14">
        <f t="shared" si="2"/>
        <v>0</v>
      </c>
    </row>
    <row r="15" spans="1:19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  <c r="O15">
        <f>IF(ISBLANK(J15),#REF!,J15)</f>
        <v>1.06</v>
      </c>
      <c r="P15">
        <f>IF(ISBLANK(L15),#REF!,L15)</f>
        <v>4.3</v>
      </c>
      <c r="Q15">
        <f t="shared" si="0"/>
        <v>0</v>
      </c>
      <c r="R15">
        <f t="shared" si="1"/>
        <v>0</v>
      </c>
      <c r="S15">
        <f t="shared" si="2"/>
        <v>0</v>
      </c>
    </row>
    <row r="16" spans="1:19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  <c r="O16">
        <f>IF(ISBLANK(J16),#REF!,J16)</f>
        <v>0.27</v>
      </c>
      <c r="P16">
        <f>IF(ISBLANK(L16),#REF!,L16)</f>
        <v>4.3</v>
      </c>
      <c r="Q16">
        <f t="shared" si="0"/>
        <v>0</v>
      </c>
      <c r="R16">
        <f t="shared" si="1"/>
        <v>0</v>
      </c>
      <c r="S16">
        <f t="shared" si="2"/>
        <v>0</v>
      </c>
    </row>
    <row r="17" spans="1:19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  <c r="O17">
        <f>IF(ISBLANK(J17),#REF!,J17)</f>
        <v>1.32</v>
      </c>
      <c r="P17">
        <f>IF(ISBLANK(L17),#REF!,L17)</f>
        <v>4.5</v>
      </c>
      <c r="Q17">
        <f t="shared" si="0"/>
        <v>0</v>
      </c>
      <c r="R17">
        <f t="shared" si="1"/>
        <v>0</v>
      </c>
      <c r="S17">
        <f t="shared" si="2"/>
        <v>0</v>
      </c>
    </row>
    <row r="18" spans="1:19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  <c r="O18">
        <f>IF(ISBLANK(J18),#REF!,J18)</f>
        <v>1.22</v>
      </c>
      <c r="P18">
        <f>IF(ISBLANK(L18),#REF!,L18)</f>
        <v>3.7</v>
      </c>
      <c r="Q18">
        <f t="shared" si="0"/>
        <v>0</v>
      </c>
      <c r="R18">
        <f t="shared" si="1"/>
        <v>1</v>
      </c>
      <c r="S18">
        <f t="shared" si="2"/>
        <v>0</v>
      </c>
    </row>
    <row r="19" spans="1:19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  <c r="O19">
        <f>IF(ISBLANK(J19),#REF!,J19)</f>
        <v>4.01</v>
      </c>
      <c r="P19">
        <f>IF(ISBLANK(L19),#REF!,L19)</f>
        <v>3.6</v>
      </c>
      <c r="Q19">
        <f t="shared" si="0"/>
        <v>0</v>
      </c>
      <c r="R19">
        <f t="shared" si="1"/>
        <v>1</v>
      </c>
      <c r="S19">
        <f t="shared" si="2"/>
        <v>0</v>
      </c>
    </row>
    <row r="20" spans="1:19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  <c r="O20">
        <f>IF(ISBLANK(J20),#REF!,J20)</f>
        <v>0.2</v>
      </c>
      <c r="P20">
        <f>IF(ISBLANK(L20),#REF!,L20)</f>
        <v>3.9</v>
      </c>
      <c r="Q20">
        <f t="shared" si="0"/>
        <v>0</v>
      </c>
      <c r="R20">
        <f t="shared" si="1"/>
        <v>1</v>
      </c>
      <c r="S20">
        <f t="shared" si="2"/>
        <v>0</v>
      </c>
    </row>
    <row r="21" spans="1:19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  <c r="O21">
        <f>IF(ISBLANK(J21),#REF!,J21)</f>
        <v>0.5</v>
      </c>
      <c r="P21">
        <f>IF(ISBLANK(L21),#REF!,L21)</f>
        <v>4</v>
      </c>
      <c r="Q21">
        <f t="shared" si="0"/>
        <v>0</v>
      </c>
      <c r="R21">
        <f t="shared" si="1"/>
        <v>1</v>
      </c>
      <c r="S21">
        <f t="shared" si="2"/>
        <v>0</v>
      </c>
    </row>
    <row r="22" spans="1:19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  <c r="O22">
        <f>IF(ISBLANK(J22),#REF!,J22)</f>
        <v>6.95</v>
      </c>
      <c r="P22">
        <f>IF(ISBLANK(L22),#REF!,L22)</f>
        <v>5</v>
      </c>
      <c r="Q22">
        <f t="shared" si="0"/>
        <v>1</v>
      </c>
      <c r="R22">
        <f t="shared" si="1"/>
        <v>0</v>
      </c>
      <c r="S22">
        <f t="shared" si="2"/>
        <v>0</v>
      </c>
    </row>
    <row r="23" spans="1:19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  <c r="O23">
        <f>IF(ISBLANK(J23),#REF!,J23)</f>
        <v>0.2</v>
      </c>
      <c r="P23">
        <f>IF(ISBLANK(L23),#REF!,L23)</f>
        <v>5</v>
      </c>
      <c r="Q23">
        <f t="shared" si="0"/>
        <v>1</v>
      </c>
      <c r="R23">
        <f t="shared" si="1"/>
        <v>0</v>
      </c>
      <c r="S23">
        <f t="shared" si="2"/>
        <v>0</v>
      </c>
    </row>
    <row r="24" spans="1:19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  <c r="O24">
        <f>IF(ISBLANK(J24),#REF!,J24)</f>
        <v>1.61</v>
      </c>
      <c r="P24">
        <f>IF(ISBLANK(L24),#REF!,L24)</f>
        <v>4.5999999999999996</v>
      </c>
      <c r="Q24">
        <f t="shared" si="0"/>
        <v>1</v>
      </c>
      <c r="R24">
        <f t="shared" si="1"/>
        <v>0</v>
      </c>
      <c r="S24">
        <f t="shared" si="2"/>
        <v>0</v>
      </c>
    </row>
    <row r="25" spans="1:19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  <c r="O25">
        <f>IF(ISBLANK(J25),#REF!,J25)</f>
        <v>1.55</v>
      </c>
      <c r="P25">
        <f>IF(ISBLANK(L25),#REF!,L25)</f>
        <v>4.7</v>
      </c>
      <c r="Q25">
        <f t="shared" si="0"/>
        <v>1</v>
      </c>
      <c r="R25">
        <f t="shared" si="1"/>
        <v>0</v>
      </c>
      <c r="S25">
        <f t="shared" si="2"/>
        <v>0</v>
      </c>
    </row>
    <row r="26" spans="1:19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  <c r="O26">
        <f>IF(ISBLANK(J26),#REF!,J26)</f>
        <v>2.99</v>
      </c>
      <c r="P26">
        <f>IF(ISBLANK(L26),#REF!,L26)</f>
        <v>3.5</v>
      </c>
      <c r="Q26">
        <f t="shared" si="0"/>
        <v>0</v>
      </c>
      <c r="R26">
        <f t="shared" si="1"/>
        <v>0</v>
      </c>
      <c r="S26">
        <f t="shared" si="2"/>
        <v>1</v>
      </c>
    </row>
    <row r="27" spans="1:19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  <c r="O27">
        <f>IF(ISBLANK(J27),#REF!,J27)</f>
        <v>7.04</v>
      </c>
      <c r="P27">
        <f>IF(ISBLANK(L27),#REF!,L27)</f>
        <v>3.9</v>
      </c>
      <c r="Q27">
        <f t="shared" si="0"/>
        <v>0</v>
      </c>
      <c r="R27">
        <f t="shared" si="1"/>
        <v>0</v>
      </c>
      <c r="S27">
        <f t="shared" si="2"/>
        <v>1</v>
      </c>
    </row>
    <row r="28" spans="1:19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  <c r="O28">
        <f>IF(ISBLANK(J28),#REF!,J28)</f>
        <v>4.9400000000000004</v>
      </c>
      <c r="P28">
        <f>IF(ISBLANK(L28),#REF!,L28)</f>
        <v>4</v>
      </c>
      <c r="Q28">
        <f t="shared" si="0"/>
        <v>0</v>
      </c>
      <c r="R28">
        <f t="shared" si="1"/>
        <v>0</v>
      </c>
      <c r="S28">
        <f t="shared" si="2"/>
        <v>1</v>
      </c>
    </row>
    <row r="29" spans="1:19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  <c r="O29">
        <f>IF(ISBLANK(J29),#REF!,J29)</f>
        <v>16.149999999999999</v>
      </c>
      <c r="P29">
        <f>IF(ISBLANK(L29),#REF!,L29)</f>
        <v>3.7</v>
      </c>
      <c r="Q29">
        <f t="shared" si="0"/>
        <v>0</v>
      </c>
      <c r="R29">
        <f t="shared" si="1"/>
        <v>0</v>
      </c>
      <c r="S29">
        <f t="shared" si="2"/>
        <v>1</v>
      </c>
    </row>
    <row r="30" spans="1:19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  <c r="O30">
        <f>IF(ISBLANK(J30),#REF!,J30)</f>
        <v>0.48</v>
      </c>
      <c r="P30">
        <f>IF(ISBLANK(L30),#REF!,L30)</f>
        <v>3.6</v>
      </c>
      <c r="Q30">
        <f t="shared" si="0"/>
        <v>0</v>
      </c>
      <c r="R30">
        <f t="shared" si="1"/>
        <v>0</v>
      </c>
      <c r="S30">
        <f t="shared" si="2"/>
        <v>0</v>
      </c>
    </row>
    <row r="31" spans="1:19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  <c r="O31">
        <f>IF(ISBLANK(J31),#REF!,J31)</f>
        <v>0.31</v>
      </c>
      <c r="P31">
        <f>IF(ISBLANK(L31),#REF!,L31)</f>
        <v>3.1</v>
      </c>
      <c r="Q31">
        <f t="shared" si="0"/>
        <v>0</v>
      </c>
      <c r="R31">
        <f t="shared" si="1"/>
        <v>0</v>
      </c>
      <c r="S31">
        <f t="shared" si="2"/>
        <v>0</v>
      </c>
    </row>
    <row r="32" spans="1:19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  <c r="O32">
        <f>IF(ISBLANK(J32),#REF!,J32)</f>
        <v>3.01</v>
      </c>
      <c r="P32">
        <f>IF(ISBLANK(L32),#REF!,L32)</f>
        <v>3.7</v>
      </c>
      <c r="Q32">
        <f t="shared" si="0"/>
        <v>0</v>
      </c>
      <c r="R32">
        <f t="shared" si="1"/>
        <v>0</v>
      </c>
      <c r="S32">
        <f t="shared" si="2"/>
        <v>0</v>
      </c>
    </row>
    <row r="33" spans="1:19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  <c r="O33">
        <f>IF(ISBLANK(J33),#REF!,J33)</f>
        <v>12.15</v>
      </c>
      <c r="P33">
        <f>IF(ISBLANK(L33),#REF!,L33)</f>
        <v>3.6</v>
      </c>
      <c r="Q33">
        <f t="shared" si="0"/>
        <v>0</v>
      </c>
      <c r="R33">
        <f t="shared" si="1"/>
        <v>0</v>
      </c>
      <c r="S33">
        <f t="shared" si="2"/>
        <v>0</v>
      </c>
    </row>
    <row r="34" spans="1:19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  <c r="O34">
        <f>IF(ISBLANK(J34),#REF!,J34)</f>
        <v>11.71</v>
      </c>
      <c r="P34">
        <f>IF(ISBLANK(L34),#REF!,L34)</f>
        <v>4.2</v>
      </c>
      <c r="Q34">
        <f t="shared" si="0"/>
        <v>1</v>
      </c>
      <c r="R34">
        <f t="shared" si="1"/>
        <v>0</v>
      </c>
      <c r="S34">
        <f t="shared" si="2"/>
        <v>0</v>
      </c>
    </row>
    <row r="35" spans="1:19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  <c r="O35">
        <f>IF(ISBLANK(J35),#REF!,J35)</f>
        <v>0.62</v>
      </c>
      <c r="P35" t="e">
        <f>IF(ISBLANK(L35),#REF!,L35)</f>
        <v>#REF!</v>
      </c>
      <c r="Q35">
        <f t="shared" si="0"/>
        <v>1</v>
      </c>
      <c r="R35">
        <f t="shared" si="1"/>
        <v>0</v>
      </c>
      <c r="S35">
        <f t="shared" si="2"/>
        <v>0</v>
      </c>
    </row>
    <row r="36" spans="1:19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  <c r="O36">
        <f>IF(ISBLANK(J36),#REF!,J36)</f>
        <v>2.12</v>
      </c>
      <c r="P36">
        <f>IF(ISBLANK(L36),#REF!,L36)</f>
        <v>3.5</v>
      </c>
      <c r="Q36">
        <f t="shared" si="0"/>
        <v>1</v>
      </c>
      <c r="R36">
        <f t="shared" si="1"/>
        <v>0</v>
      </c>
      <c r="S36">
        <f t="shared" si="2"/>
        <v>0</v>
      </c>
    </row>
    <row r="37" spans="1:19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  <c r="O37">
        <f>IF(ISBLANK(J37),#REF!,J37)</f>
        <v>6.31</v>
      </c>
      <c r="P37">
        <f>IF(ISBLANK(L37),#REF!,L37)</f>
        <v>3.6</v>
      </c>
      <c r="Q37">
        <f t="shared" si="0"/>
        <v>1</v>
      </c>
      <c r="R37">
        <f t="shared" si="1"/>
        <v>0</v>
      </c>
      <c r="S37">
        <f t="shared" si="2"/>
        <v>0</v>
      </c>
    </row>
    <row r="38" spans="1:19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  <c r="O38">
        <f>IF(ISBLANK(J38),#REF!,J38)</f>
        <v>9.56</v>
      </c>
      <c r="P38">
        <f>IF(ISBLANK(L38),#REF!,L38)</f>
        <v>4.2</v>
      </c>
      <c r="Q38">
        <f t="shared" si="0"/>
        <v>1</v>
      </c>
      <c r="R38">
        <f t="shared" si="1"/>
        <v>0</v>
      </c>
      <c r="S38">
        <f t="shared" si="2"/>
        <v>0</v>
      </c>
    </row>
    <row r="39" spans="1:19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  <c r="O39">
        <f>IF(ISBLANK(J39),#REF!,J39)</f>
        <v>9.0500000000000007</v>
      </c>
      <c r="P39">
        <f>IF(ISBLANK(L39),#REF!,L39)</f>
        <v>3.8</v>
      </c>
      <c r="Q39">
        <f t="shared" si="0"/>
        <v>1</v>
      </c>
      <c r="R39">
        <f t="shared" si="1"/>
        <v>0</v>
      </c>
      <c r="S39">
        <f t="shared" si="2"/>
        <v>0</v>
      </c>
    </row>
    <row r="40" spans="1:19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  <c r="O40">
        <f>IF(ISBLANK(J40),#REF!,J40)</f>
        <v>5.05</v>
      </c>
      <c r="P40">
        <f>IF(ISBLANK(L40),#REF!,L40)</f>
        <v>4</v>
      </c>
      <c r="Q40">
        <f t="shared" si="0"/>
        <v>1</v>
      </c>
      <c r="R40">
        <f t="shared" si="1"/>
        <v>0</v>
      </c>
      <c r="S40">
        <f t="shared" si="2"/>
        <v>0</v>
      </c>
    </row>
    <row r="41" spans="1:19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  <c r="O41">
        <f>IF(ISBLANK(J41),#REF!,J41)</f>
        <v>0.89</v>
      </c>
      <c r="P41">
        <f>IF(ISBLANK(L41),#REF!,L41)</f>
        <v>3.8</v>
      </c>
      <c r="Q41">
        <f t="shared" si="0"/>
        <v>1</v>
      </c>
      <c r="R41">
        <f t="shared" si="1"/>
        <v>0</v>
      </c>
      <c r="S41">
        <f t="shared" si="2"/>
        <v>0</v>
      </c>
    </row>
    <row r="42" spans="1:19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  <c r="O42">
        <f>IF(ISBLANK(J42),#REF!,J42)</f>
        <v>5.57</v>
      </c>
      <c r="P42">
        <f>IF(ISBLANK(L42),#REF!,L42)</f>
        <v>4.4000000000000004</v>
      </c>
      <c r="Q42">
        <f t="shared" si="0"/>
        <v>0</v>
      </c>
      <c r="R42">
        <f t="shared" si="1"/>
        <v>0</v>
      </c>
      <c r="S42">
        <f t="shared" si="2"/>
        <v>0</v>
      </c>
    </row>
    <row r="43" spans="1:19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  <c r="O43">
        <f>IF(ISBLANK(J43),#REF!,J43)</f>
        <v>1.06</v>
      </c>
      <c r="P43">
        <f>IF(ISBLANK(L43),#REF!,L43)</f>
        <v>4.4000000000000004</v>
      </c>
      <c r="Q43">
        <f t="shared" si="0"/>
        <v>0</v>
      </c>
      <c r="R43">
        <f t="shared" si="1"/>
        <v>0</v>
      </c>
      <c r="S43">
        <f t="shared" si="2"/>
        <v>0</v>
      </c>
    </row>
    <row r="44" spans="1:19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  <c r="O44">
        <f>IF(ISBLANK(J44),#REF!,J44)</f>
        <v>1.24</v>
      </c>
      <c r="P44">
        <f>IF(ISBLANK(L44),#REF!,L44)</f>
        <v>4</v>
      </c>
      <c r="Q44">
        <f t="shared" si="0"/>
        <v>0</v>
      </c>
      <c r="R44">
        <f t="shared" si="1"/>
        <v>0</v>
      </c>
      <c r="S44">
        <f t="shared" si="2"/>
        <v>0</v>
      </c>
    </row>
    <row r="45" spans="1:19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  <c r="O45">
        <f>IF(ISBLANK(J45),#REF!,J45)</f>
        <v>4.5199999999999996</v>
      </c>
      <c r="P45">
        <f>IF(ISBLANK(L45),#REF!,L45)</f>
        <v>4.2</v>
      </c>
      <c r="Q45">
        <f t="shared" si="0"/>
        <v>0</v>
      </c>
      <c r="R45">
        <f t="shared" si="1"/>
        <v>0</v>
      </c>
      <c r="S45">
        <f t="shared" si="2"/>
        <v>0</v>
      </c>
    </row>
    <row r="46" spans="1:19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  <c r="O46">
        <f>IF(ISBLANK(J46),#REF!,J46)</f>
        <v>9.58</v>
      </c>
      <c r="P46">
        <f>IF(ISBLANK(L46),#REF!,L46)</f>
        <v>3.2</v>
      </c>
      <c r="Q46">
        <f t="shared" si="0"/>
        <v>0</v>
      </c>
      <c r="R46">
        <f t="shared" si="1"/>
        <v>0</v>
      </c>
      <c r="S46">
        <f t="shared" si="2"/>
        <v>1</v>
      </c>
    </row>
    <row r="47" spans="1:19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  <c r="O47">
        <f>IF(ISBLANK(J47),#REF!,J47)</f>
        <v>5.52</v>
      </c>
      <c r="P47">
        <f>IF(ISBLANK(L47),#REF!,L47)</f>
        <v>3.5</v>
      </c>
      <c r="Q47">
        <f t="shared" si="0"/>
        <v>0</v>
      </c>
      <c r="R47">
        <f t="shared" si="1"/>
        <v>0</v>
      </c>
      <c r="S47">
        <f t="shared" si="2"/>
        <v>1</v>
      </c>
    </row>
    <row r="48" spans="1:19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  <c r="O48">
        <f>IF(ISBLANK(J48),#REF!,J48)</f>
        <v>2.7</v>
      </c>
      <c r="P48">
        <f>IF(ISBLANK(L48),#REF!,L48)</f>
        <v>3.2</v>
      </c>
      <c r="Q48">
        <f t="shared" si="0"/>
        <v>0</v>
      </c>
      <c r="R48">
        <f t="shared" si="1"/>
        <v>0</v>
      </c>
      <c r="S48">
        <f t="shared" si="2"/>
        <v>1</v>
      </c>
    </row>
    <row r="49" spans="1:19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  <c r="O49">
        <f>IF(ISBLANK(J49),#REF!,J49)</f>
        <v>9.64</v>
      </c>
      <c r="P49">
        <f>IF(ISBLANK(L49),#REF!,L49)</f>
        <v>3.3</v>
      </c>
      <c r="Q49">
        <f t="shared" si="0"/>
        <v>0</v>
      </c>
      <c r="R49">
        <f t="shared" si="1"/>
        <v>0</v>
      </c>
      <c r="S49">
        <f t="shared" si="2"/>
        <v>1</v>
      </c>
    </row>
    <row r="50" spans="1:19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  <c r="O50">
        <f>IF(ISBLANK(J50),#REF!,J50)</f>
        <v>3.49</v>
      </c>
      <c r="P50">
        <f>IF(ISBLANK(L50),#REF!,L50)</f>
        <v>4.7</v>
      </c>
      <c r="Q50">
        <f t="shared" si="0"/>
        <v>1</v>
      </c>
      <c r="R50">
        <f t="shared" si="1"/>
        <v>0</v>
      </c>
      <c r="S50">
        <f t="shared" si="2"/>
        <v>0</v>
      </c>
    </row>
    <row r="51" spans="1:19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  <c r="O51">
        <f>IF(ISBLANK(J51),#REF!,J51)</f>
        <v>9.11</v>
      </c>
      <c r="P51">
        <f>IF(ISBLANK(L51),#REF!,L51)</f>
        <v>4.5999999999999996</v>
      </c>
      <c r="Q51">
        <f t="shared" si="0"/>
        <v>1</v>
      </c>
      <c r="R51">
        <f t="shared" si="1"/>
        <v>0</v>
      </c>
      <c r="S51">
        <f t="shared" si="2"/>
        <v>0</v>
      </c>
    </row>
    <row r="52" spans="1:19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  <c r="O52">
        <f>IF(ISBLANK(J52),#REF!,J52)</f>
        <v>7.4</v>
      </c>
      <c r="P52">
        <f>IF(ISBLANK(L52),#REF!,L52)</f>
        <v>4.5</v>
      </c>
      <c r="Q52">
        <f t="shared" si="0"/>
        <v>1</v>
      </c>
      <c r="R52">
        <f t="shared" si="1"/>
        <v>0</v>
      </c>
      <c r="S52">
        <f t="shared" si="2"/>
        <v>0</v>
      </c>
    </row>
    <row r="53" spans="1:19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  <c r="O53">
        <f>IF(ISBLANK(J53),#REF!,J53)</f>
        <v>7.16</v>
      </c>
      <c r="P53">
        <f>IF(ISBLANK(L53),#REF!,L53)</f>
        <v>4.5999999999999996</v>
      </c>
      <c r="Q53">
        <f t="shared" si="0"/>
        <v>1</v>
      </c>
      <c r="R53">
        <f t="shared" si="1"/>
        <v>0</v>
      </c>
      <c r="S53">
        <f t="shared" si="2"/>
        <v>0</v>
      </c>
    </row>
    <row r="54" spans="1:19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  <c r="O54">
        <f>IF(ISBLANK(J54),#REF!,J54)</f>
        <v>22.02</v>
      </c>
      <c r="P54">
        <f>IF(ISBLANK(L54),#REF!,L54)</f>
        <v>3.9</v>
      </c>
      <c r="Q54">
        <f t="shared" si="0"/>
        <v>0</v>
      </c>
      <c r="R54">
        <f t="shared" si="1"/>
        <v>0</v>
      </c>
      <c r="S54">
        <f t="shared" si="2"/>
        <v>1</v>
      </c>
    </row>
    <row r="55" spans="1:19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  <c r="O55">
        <f>IF(ISBLANK(J55),#REF!,J55)</f>
        <v>6.18</v>
      </c>
      <c r="P55">
        <f>IF(ISBLANK(L55),#REF!,L55)</f>
        <v>4.7</v>
      </c>
      <c r="Q55">
        <f t="shared" si="0"/>
        <v>0</v>
      </c>
      <c r="R55">
        <f t="shared" si="1"/>
        <v>0</v>
      </c>
      <c r="S55">
        <f t="shared" si="2"/>
        <v>1</v>
      </c>
    </row>
    <row r="56" spans="1:19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  <c r="O56">
        <f>IF(ISBLANK(J56),#REF!,J56)</f>
        <v>1.76</v>
      </c>
      <c r="P56">
        <f>IF(ISBLANK(L56),#REF!,L56)</f>
        <v>4.3</v>
      </c>
      <c r="Q56">
        <f t="shared" si="0"/>
        <v>0</v>
      </c>
      <c r="R56">
        <f t="shared" si="1"/>
        <v>0</v>
      </c>
      <c r="S56">
        <f t="shared" si="2"/>
        <v>1</v>
      </c>
    </row>
    <row r="57" spans="1:19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  <c r="O57">
        <f>IF(ISBLANK(J57),#REF!,J57)</f>
        <v>0.47</v>
      </c>
      <c r="P57">
        <f>IF(ISBLANK(L57),#REF!,L57)</f>
        <v>4.0999999999999996</v>
      </c>
      <c r="Q57">
        <f t="shared" si="0"/>
        <v>0</v>
      </c>
      <c r="R57">
        <f t="shared" si="1"/>
        <v>0</v>
      </c>
      <c r="S57">
        <f t="shared" si="2"/>
        <v>1</v>
      </c>
    </row>
    <row r="58" spans="1:19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  <c r="O58">
        <f>IF(ISBLANK(J58),#REF!,J58)</f>
        <v>0.2</v>
      </c>
      <c r="P58">
        <f>IF(ISBLANK(L58),#REF!,L58)</f>
        <v>3.5</v>
      </c>
      <c r="Q58">
        <f t="shared" si="0"/>
        <v>0</v>
      </c>
      <c r="R58">
        <f t="shared" si="1"/>
        <v>0</v>
      </c>
      <c r="S58">
        <f t="shared" si="2"/>
        <v>0</v>
      </c>
    </row>
    <row r="59" spans="1:19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  <c r="O59">
        <f>IF(ISBLANK(J59),#REF!,J59)</f>
        <v>5.1100000000000003</v>
      </c>
      <c r="P59">
        <f>IF(ISBLANK(L59),#REF!,L59)</f>
        <v>3.7</v>
      </c>
      <c r="Q59">
        <f t="shared" si="0"/>
        <v>0</v>
      </c>
      <c r="R59">
        <f t="shared" si="1"/>
        <v>0</v>
      </c>
      <c r="S59">
        <f t="shared" si="2"/>
        <v>0</v>
      </c>
    </row>
    <row r="60" spans="1:19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  <c r="O60">
        <f>IF(ISBLANK(J60),#REF!,J60)</f>
        <v>0.2</v>
      </c>
      <c r="P60">
        <f>IF(ISBLANK(L60),#REF!,L60)</f>
        <v>3.1</v>
      </c>
      <c r="Q60">
        <f t="shared" si="0"/>
        <v>0</v>
      </c>
      <c r="R60">
        <f t="shared" si="1"/>
        <v>0</v>
      </c>
      <c r="S60">
        <f t="shared" si="2"/>
        <v>0</v>
      </c>
    </row>
    <row r="61" spans="1:19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  <c r="O61">
        <f>IF(ISBLANK(J61),#REF!,J61)</f>
        <v>13.59</v>
      </c>
      <c r="P61">
        <f>IF(ISBLANK(L61),#REF!,L61)</f>
        <v>3.1</v>
      </c>
      <c r="Q61">
        <f t="shared" si="0"/>
        <v>0</v>
      </c>
      <c r="R61">
        <f t="shared" si="1"/>
        <v>0</v>
      </c>
      <c r="S61">
        <f t="shared" si="2"/>
        <v>0</v>
      </c>
    </row>
    <row r="62" spans="1:19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  <c r="O62">
        <f>IF(ISBLANK(J62),#REF!,J62)</f>
        <v>1.02</v>
      </c>
      <c r="P62">
        <f>IF(ISBLANK(L62),#REF!,L62)</f>
        <v>3.7</v>
      </c>
      <c r="Q62">
        <f t="shared" si="0"/>
        <v>0</v>
      </c>
      <c r="R62">
        <f t="shared" si="1"/>
        <v>1</v>
      </c>
      <c r="S62">
        <f t="shared" si="2"/>
        <v>0</v>
      </c>
    </row>
    <row r="63" spans="1:19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  <c r="O63">
        <f>IF(ISBLANK(J63),#REF!,J63)</f>
        <v>1.64</v>
      </c>
      <c r="P63">
        <f>IF(ISBLANK(L63),#REF!,L63)</f>
        <v>3.8</v>
      </c>
      <c r="Q63">
        <f t="shared" si="0"/>
        <v>0</v>
      </c>
      <c r="R63">
        <f t="shared" si="1"/>
        <v>1</v>
      </c>
      <c r="S63">
        <f t="shared" si="2"/>
        <v>0</v>
      </c>
    </row>
    <row r="64" spans="1:19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  <c r="O64">
        <f>IF(ISBLANK(J64),#REF!,J64)</f>
        <v>5.15</v>
      </c>
      <c r="P64">
        <f>IF(ISBLANK(L64),#REF!,L64)</f>
        <v>3.3</v>
      </c>
      <c r="Q64">
        <f t="shared" si="0"/>
        <v>0</v>
      </c>
      <c r="R64">
        <f t="shared" si="1"/>
        <v>1</v>
      </c>
      <c r="S64">
        <f t="shared" si="2"/>
        <v>0</v>
      </c>
    </row>
    <row r="65" spans="1:19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  <c r="O65">
        <f>IF(ISBLANK(J65),#REF!,J65)</f>
        <v>1.1100000000000001</v>
      </c>
      <c r="P65">
        <f>IF(ISBLANK(L65),#REF!,L65)</f>
        <v>3.5</v>
      </c>
      <c r="Q65">
        <f t="shared" si="0"/>
        <v>0</v>
      </c>
      <c r="R65">
        <f t="shared" si="1"/>
        <v>1</v>
      </c>
      <c r="S65">
        <f t="shared" si="2"/>
        <v>0</v>
      </c>
    </row>
    <row r="66" spans="1:19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  <c r="O66">
        <f>IF(ISBLANK(J66),#REF!,J66)</f>
        <v>6.08</v>
      </c>
      <c r="P66">
        <f>IF(ISBLANK(L66),#REF!,L66)</f>
        <v>3.4</v>
      </c>
      <c r="Q66">
        <f t="shared" si="0"/>
        <v>0</v>
      </c>
      <c r="R66">
        <f t="shared" si="1"/>
        <v>0</v>
      </c>
      <c r="S66">
        <f t="shared" si="2"/>
        <v>1</v>
      </c>
    </row>
    <row r="67" spans="1:19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  <c r="O67">
        <f>IF(ISBLANK(J67),#REF!,J67)</f>
        <v>10.91</v>
      </c>
      <c r="P67">
        <f>IF(ISBLANK(L67),#REF!,L67)</f>
        <v>3.6</v>
      </c>
      <c r="Q67">
        <f t="shared" ref="Q67:Q130" si="3">IF(TRIM($C67)="North",1,0)</f>
        <v>0</v>
      </c>
      <c r="R67">
        <f t="shared" ref="R67:R130" si="4">IF(TRIM($C67)="South",1,0)</f>
        <v>0</v>
      </c>
      <c r="S67">
        <f t="shared" ref="S67:S130" si="5">IF(TRIM($C67)="West",1,0)</f>
        <v>1</v>
      </c>
    </row>
    <row r="68" spans="1:19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  <c r="O68">
        <f>IF(ISBLANK(J68),#REF!,J68)</f>
        <v>19.010000000000002</v>
      </c>
      <c r="P68">
        <f>IF(ISBLANK(L68),#REF!,L68)</f>
        <v>3.2</v>
      </c>
      <c r="Q68">
        <f t="shared" si="3"/>
        <v>0</v>
      </c>
      <c r="R68">
        <f t="shared" si="4"/>
        <v>0</v>
      </c>
      <c r="S68">
        <f t="shared" si="5"/>
        <v>1</v>
      </c>
    </row>
    <row r="69" spans="1:19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  <c r="O69">
        <f>IF(ISBLANK(J69),#REF!,J69)</f>
        <v>0.77</v>
      </c>
      <c r="P69">
        <f>IF(ISBLANK(L69),#REF!,L69)</f>
        <v>3.4</v>
      </c>
      <c r="Q69">
        <f t="shared" si="3"/>
        <v>0</v>
      </c>
      <c r="R69">
        <f t="shared" si="4"/>
        <v>0</v>
      </c>
      <c r="S69">
        <f t="shared" si="5"/>
        <v>1</v>
      </c>
    </row>
    <row r="70" spans="1:19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  <c r="O70">
        <f>IF(ISBLANK(J70),#REF!,J70)</f>
        <v>2.83</v>
      </c>
      <c r="P70">
        <f>IF(ISBLANK(L70),#REF!,L70)</f>
        <v>3.3</v>
      </c>
      <c r="Q70">
        <f t="shared" si="3"/>
        <v>0</v>
      </c>
      <c r="R70">
        <f t="shared" si="4"/>
        <v>0</v>
      </c>
      <c r="S70">
        <f t="shared" si="5"/>
        <v>0</v>
      </c>
    </row>
    <row r="71" spans="1:19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  <c r="O71">
        <f>IF(ISBLANK(J71),#REF!,J71)</f>
        <v>2.33</v>
      </c>
      <c r="P71">
        <f>IF(ISBLANK(L71),#REF!,L71)</f>
        <v>3.3</v>
      </c>
      <c r="Q71">
        <f t="shared" si="3"/>
        <v>0</v>
      </c>
      <c r="R71">
        <f t="shared" si="4"/>
        <v>0</v>
      </c>
      <c r="S71">
        <f t="shared" si="5"/>
        <v>0</v>
      </c>
    </row>
    <row r="72" spans="1:19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  <c r="O72">
        <f>IF(ISBLANK(J72),#REF!,J72)</f>
        <v>1.43</v>
      </c>
      <c r="P72">
        <f>IF(ISBLANK(L72),#REF!,L72)</f>
        <v>3.2</v>
      </c>
      <c r="Q72">
        <f t="shared" si="3"/>
        <v>0</v>
      </c>
      <c r="R72">
        <f t="shared" si="4"/>
        <v>0</v>
      </c>
      <c r="S72">
        <f t="shared" si="5"/>
        <v>0</v>
      </c>
    </row>
    <row r="73" spans="1:19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  <c r="O73" t="e">
        <f>IF(ISBLANK(J73),#REF!,J73)</f>
        <v>#REF!</v>
      </c>
      <c r="P73">
        <f>IF(ISBLANK(L73),#REF!,L73)</f>
        <v>3.5</v>
      </c>
      <c r="Q73">
        <f t="shared" si="3"/>
        <v>0</v>
      </c>
      <c r="R73">
        <f t="shared" si="4"/>
        <v>0</v>
      </c>
      <c r="S73">
        <f t="shared" si="5"/>
        <v>0</v>
      </c>
    </row>
    <row r="74" spans="1:19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  <c r="O74">
        <f>IF(ISBLANK(J74),#REF!,J74)</f>
        <v>4.91</v>
      </c>
      <c r="P74">
        <f>IF(ISBLANK(L74),#REF!,L74)</f>
        <v>4.5</v>
      </c>
      <c r="Q74">
        <f t="shared" si="3"/>
        <v>0</v>
      </c>
      <c r="R74">
        <f t="shared" si="4"/>
        <v>0</v>
      </c>
      <c r="S74">
        <f t="shared" si="5"/>
        <v>0</v>
      </c>
    </row>
    <row r="75" spans="1:19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  <c r="O75">
        <f>IF(ISBLANK(J75),#REF!,J75)</f>
        <v>7.03</v>
      </c>
      <c r="P75">
        <f>IF(ISBLANK(L75),#REF!,L75)</f>
        <v>4.4000000000000004</v>
      </c>
      <c r="Q75">
        <f t="shared" si="3"/>
        <v>0</v>
      </c>
      <c r="R75">
        <f t="shared" si="4"/>
        <v>0</v>
      </c>
      <c r="S75">
        <f t="shared" si="5"/>
        <v>0</v>
      </c>
    </row>
    <row r="76" spans="1:19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  <c r="O76">
        <f>IF(ISBLANK(J76),#REF!,J76)</f>
        <v>0.28000000000000003</v>
      </c>
      <c r="P76">
        <f>IF(ISBLANK(L76),#REF!,L76)</f>
        <v>4.3</v>
      </c>
      <c r="Q76">
        <f t="shared" si="3"/>
        <v>0</v>
      </c>
      <c r="R76">
        <f t="shared" si="4"/>
        <v>0</v>
      </c>
      <c r="S76">
        <f t="shared" si="5"/>
        <v>0</v>
      </c>
    </row>
    <row r="77" spans="1:19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  <c r="O77">
        <f>IF(ISBLANK(J77),#REF!,J77)</f>
        <v>3.61</v>
      </c>
      <c r="P77">
        <f>IF(ISBLANK(L77),#REF!,L77)</f>
        <v>4.5</v>
      </c>
      <c r="Q77">
        <f t="shared" si="3"/>
        <v>0</v>
      </c>
      <c r="R77">
        <f t="shared" si="4"/>
        <v>0</v>
      </c>
      <c r="S77">
        <f t="shared" si="5"/>
        <v>0</v>
      </c>
    </row>
    <row r="78" spans="1:19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  <c r="O78">
        <f>IF(ISBLANK(J78),#REF!,J78)</f>
        <v>7.52</v>
      </c>
      <c r="P78">
        <f>IF(ISBLANK(L78),#REF!,L78)</f>
        <v>3.2</v>
      </c>
      <c r="Q78">
        <f t="shared" si="3"/>
        <v>0</v>
      </c>
      <c r="R78">
        <f t="shared" si="4"/>
        <v>1</v>
      </c>
      <c r="S78">
        <f t="shared" si="5"/>
        <v>0</v>
      </c>
    </row>
    <row r="79" spans="1:19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  <c r="O79">
        <f>IF(ISBLANK(J79),#REF!,J79)</f>
        <v>2.58</v>
      </c>
      <c r="P79">
        <f>IF(ISBLANK(L79),#REF!,L79)</f>
        <v>2.9</v>
      </c>
      <c r="Q79">
        <f t="shared" si="3"/>
        <v>0</v>
      </c>
      <c r="R79">
        <f t="shared" si="4"/>
        <v>1</v>
      </c>
      <c r="S79">
        <f t="shared" si="5"/>
        <v>0</v>
      </c>
    </row>
    <row r="80" spans="1:19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  <c r="O80">
        <f>IF(ISBLANK(J80),#REF!,J80)</f>
        <v>2.29</v>
      </c>
      <c r="P80">
        <f>IF(ISBLANK(L80),#REF!,L80)</f>
        <v>3.3</v>
      </c>
      <c r="Q80">
        <f t="shared" si="3"/>
        <v>0</v>
      </c>
      <c r="R80">
        <f t="shared" si="4"/>
        <v>1</v>
      </c>
      <c r="S80">
        <f t="shared" si="5"/>
        <v>0</v>
      </c>
    </row>
    <row r="81" spans="1:19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  <c r="O81">
        <f>IF(ISBLANK(J81),#REF!,J81)</f>
        <v>2.39</v>
      </c>
      <c r="P81">
        <f>IF(ISBLANK(L81),#REF!,L81)</f>
        <v>3.2</v>
      </c>
      <c r="Q81">
        <f t="shared" si="3"/>
        <v>0</v>
      </c>
      <c r="R81">
        <f t="shared" si="4"/>
        <v>1</v>
      </c>
      <c r="S81">
        <f t="shared" si="5"/>
        <v>0</v>
      </c>
    </row>
    <row r="82" spans="1:19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  <c r="O82">
        <f>IF(ISBLANK(J82),#REF!,J82)</f>
        <v>5.24</v>
      </c>
      <c r="P82">
        <f>IF(ISBLANK(L82),#REF!,L82)</f>
        <v>4.5999999999999996</v>
      </c>
      <c r="Q82">
        <f t="shared" si="3"/>
        <v>0</v>
      </c>
      <c r="R82">
        <f t="shared" si="4"/>
        <v>0</v>
      </c>
      <c r="S82">
        <f t="shared" si="5"/>
        <v>1</v>
      </c>
    </row>
    <row r="83" spans="1:19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  <c r="O83">
        <f>IF(ISBLANK(J83),#REF!,J83)</f>
        <v>3.17</v>
      </c>
      <c r="P83">
        <f>IF(ISBLANK(L83),#REF!,L83)</f>
        <v>4.5999999999999996</v>
      </c>
      <c r="Q83">
        <f t="shared" si="3"/>
        <v>0</v>
      </c>
      <c r="R83">
        <f t="shared" si="4"/>
        <v>0</v>
      </c>
      <c r="S83">
        <f t="shared" si="5"/>
        <v>1</v>
      </c>
    </row>
    <row r="84" spans="1:19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  <c r="O84">
        <f>IF(ISBLANK(J84),#REF!,J84)</f>
        <v>2.66</v>
      </c>
      <c r="P84">
        <f>IF(ISBLANK(L84),#REF!,L84)</f>
        <v>4.5999999999999996</v>
      </c>
      <c r="Q84">
        <f t="shared" si="3"/>
        <v>0</v>
      </c>
      <c r="R84">
        <f t="shared" si="4"/>
        <v>0</v>
      </c>
      <c r="S84">
        <f t="shared" si="5"/>
        <v>1</v>
      </c>
    </row>
    <row r="85" spans="1:19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  <c r="O85">
        <f>IF(ISBLANK(J85),#REF!,J85)</f>
        <v>1.41</v>
      </c>
      <c r="P85">
        <f>IF(ISBLANK(L85),#REF!,L85)</f>
        <v>4.2</v>
      </c>
      <c r="Q85">
        <f t="shared" si="3"/>
        <v>0</v>
      </c>
      <c r="R85">
        <f t="shared" si="4"/>
        <v>0</v>
      </c>
      <c r="S85">
        <f t="shared" si="5"/>
        <v>1</v>
      </c>
    </row>
    <row r="86" spans="1:19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  <c r="O86">
        <f>IF(ISBLANK(J86),#REF!,J86)</f>
        <v>7.34</v>
      </c>
      <c r="P86">
        <f>IF(ISBLANK(L86),#REF!,L86)</f>
        <v>4.9000000000000004</v>
      </c>
      <c r="Q86">
        <f t="shared" si="3"/>
        <v>0</v>
      </c>
      <c r="R86">
        <f t="shared" si="4"/>
        <v>0</v>
      </c>
      <c r="S86">
        <f t="shared" si="5"/>
        <v>1</v>
      </c>
    </row>
    <row r="87" spans="1:19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  <c r="O87">
        <f>IF(ISBLANK(J87),#REF!,J87)</f>
        <v>5.95</v>
      </c>
      <c r="P87" t="e">
        <f>IF(ISBLANK(L87),#REF!,L87)</f>
        <v>#REF!</v>
      </c>
      <c r="Q87">
        <f t="shared" si="3"/>
        <v>0</v>
      </c>
      <c r="R87">
        <f t="shared" si="4"/>
        <v>0</v>
      </c>
      <c r="S87">
        <f t="shared" si="5"/>
        <v>1</v>
      </c>
    </row>
    <row r="88" spans="1:19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  <c r="O88">
        <f>IF(ISBLANK(J88),#REF!,J88)</f>
        <v>15.51</v>
      </c>
      <c r="P88">
        <f>IF(ISBLANK(L88),#REF!,L88)</f>
        <v>4.3</v>
      </c>
      <c r="Q88">
        <f t="shared" si="3"/>
        <v>0</v>
      </c>
      <c r="R88">
        <f t="shared" si="4"/>
        <v>0</v>
      </c>
      <c r="S88">
        <f t="shared" si="5"/>
        <v>1</v>
      </c>
    </row>
    <row r="89" spans="1:19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  <c r="O89">
        <f>IF(ISBLANK(J89),#REF!,J89)</f>
        <v>4.3099999999999996</v>
      </c>
      <c r="P89">
        <f>IF(ISBLANK(L89),#REF!,L89)</f>
        <v>4.5999999999999996</v>
      </c>
      <c r="Q89">
        <f t="shared" si="3"/>
        <v>0</v>
      </c>
      <c r="R89">
        <f t="shared" si="4"/>
        <v>0</v>
      </c>
      <c r="S89">
        <f t="shared" si="5"/>
        <v>1</v>
      </c>
    </row>
    <row r="90" spans="1:19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  <c r="O90">
        <f>IF(ISBLANK(J90),#REF!,J90)</f>
        <v>6.61</v>
      </c>
      <c r="P90">
        <f>IF(ISBLANK(L90),#REF!,L90)</f>
        <v>4.0999999999999996</v>
      </c>
      <c r="Q90">
        <f t="shared" si="3"/>
        <v>0</v>
      </c>
      <c r="R90">
        <f t="shared" si="4"/>
        <v>1</v>
      </c>
      <c r="S90">
        <f t="shared" si="5"/>
        <v>0</v>
      </c>
    </row>
    <row r="91" spans="1:19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  <c r="O91">
        <f>IF(ISBLANK(J91),#REF!,J91)</f>
        <v>4.26</v>
      </c>
      <c r="P91">
        <f>IF(ISBLANK(L91),#REF!,L91)</f>
        <v>4.5</v>
      </c>
      <c r="Q91">
        <f t="shared" si="3"/>
        <v>0</v>
      </c>
      <c r="R91">
        <f t="shared" si="4"/>
        <v>1</v>
      </c>
      <c r="S91">
        <f t="shared" si="5"/>
        <v>0</v>
      </c>
    </row>
    <row r="92" spans="1:19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  <c r="O92">
        <f>IF(ISBLANK(J92),#REF!,J92)</f>
        <v>5.75</v>
      </c>
      <c r="P92">
        <f>IF(ISBLANK(L92),#REF!,L92)</f>
        <v>4.7</v>
      </c>
      <c r="Q92">
        <f t="shared" si="3"/>
        <v>0</v>
      </c>
      <c r="R92">
        <f t="shared" si="4"/>
        <v>1</v>
      </c>
      <c r="S92">
        <f t="shared" si="5"/>
        <v>0</v>
      </c>
    </row>
    <row r="93" spans="1:19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  <c r="O93">
        <f>IF(ISBLANK(J93),#REF!,J93)</f>
        <v>0.33</v>
      </c>
      <c r="P93">
        <f>IF(ISBLANK(L93),#REF!,L93)</f>
        <v>4.3</v>
      </c>
      <c r="Q93">
        <f t="shared" si="3"/>
        <v>0</v>
      </c>
      <c r="R93">
        <f t="shared" si="4"/>
        <v>1</v>
      </c>
      <c r="S93">
        <f t="shared" si="5"/>
        <v>0</v>
      </c>
    </row>
    <row r="94" spans="1:19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  <c r="O94">
        <f>IF(ISBLANK(J94),#REF!,J94)</f>
        <v>2.92</v>
      </c>
      <c r="P94">
        <f>IF(ISBLANK(L94),#REF!,L94)</f>
        <v>4.5999999999999996</v>
      </c>
      <c r="Q94">
        <f t="shared" si="3"/>
        <v>0</v>
      </c>
      <c r="R94">
        <f t="shared" si="4"/>
        <v>0</v>
      </c>
      <c r="S94">
        <f t="shared" si="5"/>
        <v>1</v>
      </c>
    </row>
    <row r="95" spans="1:19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  <c r="O95">
        <f>IF(ISBLANK(J95),#REF!,J95)</f>
        <v>1.64</v>
      </c>
      <c r="P95">
        <f>IF(ISBLANK(L95),#REF!,L95)</f>
        <v>4.5</v>
      </c>
      <c r="Q95">
        <f t="shared" si="3"/>
        <v>0</v>
      </c>
      <c r="R95">
        <f t="shared" si="4"/>
        <v>0</v>
      </c>
      <c r="S95">
        <f t="shared" si="5"/>
        <v>1</v>
      </c>
    </row>
    <row r="96" spans="1:19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  <c r="O96">
        <f>IF(ISBLANK(J96),#REF!,J96)</f>
        <v>0.8</v>
      </c>
      <c r="P96">
        <f>IF(ISBLANK(L96),#REF!,L96)</f>
        <v>5</v>
      </c>
      <c r="Q96">
        <f t="shared" si="3"/>
        <v>0</v>
      </c>
      <c r="R96">
        <f t="shared" si="4"/>
        <v>0</v>
      </c>
      <c r="S96">
        <f t="shared" si="5"/>
        <v>1</v>
      </c>
    </row>
    <row r="97" spans="1:19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  <c r="O97">
        <f>IF(ISBLANK(J97),#REF!,J97)</f>
        <v>5.79</v>
      </c>
      <c r="P97">
        <f>IF(ISBLANK(L97),#REF!,L97)</f>
        <v>4.5</v>
      </c>
      <c r="Q97">
        <f t="shared" si="3"/>
        <v>0</v>
      </c>
      <c r="R97">
        <f t="shared" si="4"/>
        <v>0</v>
      </c>
      <c r="S97">
        <f t="shared" si="5"/>
        <v>1</v>
      </c>
    </row>
    <row r="98" spans="1:19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  <c r="O98">
        <f>IF(ISBLANK(J98),#REF!,J98)</f>
        <v>19.600000000000001</v>
      </c>
      <c r="P98">
        <f>IF(ISBLANK(L98),#REF!,L98)</f>
        <v>4.4000000000000004</v>
      </c>
      <c r="Q98">
        <f t="shared" si="3"/>
        <v>0</v>
      </c>
      <c r="R98">
        <f t="shared" si="4"/>
        <v>0</v>
      </c>
      <c r="S98">
        <f t="shared" si="5"/>
        <v>1</v>
      </c>
    </row>
    <row r="99" spans="1:19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  <c r="O99">
        <f>IF(ISBLANK(J99),#REF!,J99)</f>
        <v>7.57</v>
      </c>
      <c r="P99">
        <f>IF(ISBLANK(L99),#REF!,L99)</f>
        <v>4.3</v>
      </c>
      <c r="Q99">
        <f t="shared" si="3"/>
        <v>0</v>
      </c>
      <c r="R99">
        <f t="shared" si="4"/>
        <v>0</v>
      </c>
      <c r="S99">
        <f t="shared" si="5"/>
        <v>1</v>
      </c>
    </row>
    <row r="100" spans="1:19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  <c r="O100" t="e">
        <f>IF(ISBLANK(J100),#REF!,J100)</f>
        <v>#REF!</v>
      </c>
      <c r="P100">
        <f>IF(ISBLANK(L100),#REF!,L100)</f>
        <v>4.3</v>
      </c>
      <c r="Q100">
        <f t="shared" si="3"/>
        <v>0</v>
      </c>
      <c r="R100">
        <f t="shared" si="4"/>
        <v>0</v>
      </c>
      <c r="S100">
        <f t="shared" si="5"/>
        <v>1</v>
      </c>
    </row>
    <row r="101" spans="1:19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  <c r="O101">
        <f>IF(ISBLANK(J101),#REF!,J101)</f>
        <v>2.7</v>
      </c>
      <c r="P101">
        <f>IF(ISBLANK(L101),#REF!,L101)</f>
        <v>4.4000000000000004</v>
      </c>
      <c r="Q101">
        <f t="shared" si="3"/>
        <v>0</v>
      </c>
      <c r="R101">
        <f t="shared" si="4"/>
        <v>0</v>
      </c>
      <c r="S101">
        <f t="shared" si="5"/>
        <v>1</v>
      </c>
    </row>
    <row r="102" spans="1:19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  <c r="O102">
        <f>IF(ISBLANK(J102),#REF!,J102)</f>
        <v>0.2</v>
      </c>
      <c r="P102">
        <f>IF(ISBLANK(L102),#REF!,L102)</f>
        <v>4.4000000000000004</v>
      </c>
      <c r="Q102">
        <f t="shared" si="3"/>
        <v>0</v>
      </c>
      <c r="R102">
        <f t="shared" si="4"/>
        <v>0</v>
      </c>
      <c r="S102">
        <f t="shared" si="5"/>
        <v>0</v>
      </c>
    </row>
    <row r="103" spans="1:19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  <c r="O103">
        <f>IF(ISBLANK(J103),#REF!,J103)</f>
        <v>7.87</v>
      </c>
      <c r="P103">
        <f>IF(ISBLANK(L103),#REF!,L103)</f>
        <v>4.7</v>
      </c>
      <c r="Q103">
        <f t="shared" si="3"/>
        <v>0</v>
      </c>
      <c r="R103">
        <f t="shared" si="4"/>
        <v>0</v>
      </c>
      <c r="S103">
        <f t="shared" si="5"/>
        <v>0</v>
      </c>
    </row>
    <row r="104" spans="1:19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  <c r="O104">
        <f>IF(ISBLANK(J104),#REF!,J104)</f>
        <v>0.77</v>
      </c>
      <c r="P104">
        <f>IF(ISBLANK(L104),#REF!,L104)</f>
        <v>4.4000000000000004</v>
      </c>
      <c r="Q104">
        <f t="shared" si="3"/>
        <v>0</v>
      </c>
      <c r="R104">
        <f t="shared" si="4"/>
        <v>0</v>
      </c>
      <c r="S104">
        <f t="shared" si="5"/>
        <v>0</v>
      </c>
    </row>
    <row r="105" spans="1:19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  <c r="O105">
        <f>IF(ISBLANK(J105),#REF!,J105)</f>
        <v>1.48</v>
      </c>
      <c r="P105">
        <f>IF(ISBLANK(L105),#REF!,L105)</f>
        <v>5</v>
      </c>
      <c r="Q105">
        <f t="shared" si="3"/>
        <v>0</v>
      </c>
      <c r="R105">
        <f t="shared" si="4"/>
        <v>0</v>
      </c>
      <c r="S105">
        <f t="shared" si="5"/>
        <v>0</v>
      </c>
    </row>
    <row r="106" spans="1:19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  <c r="O106">
        <f>IF(ISBLANK(J106),#REF!,J106)</f>
        <v>2.87</v>
      </c>
      <c r="P106">
        <f>IF(ISBLANK(L106),#REF!,L106)</f>
        <v>2.9</v>
      </c>
      <c r="Q106">
        <f t="shared" si="3"/>
        <v>0</v>
      </c>
      <c r="R106">
        <f t="shared" si="4"/>
        <v>0</v>
      </c>
      <c r="S106">
        <f t="shared" si="5"/>
        <v>1</v>
      </c>
    </row>
    <row r="107" spans="1:19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  <c r="O107">
        <f>IF(ISBLANK(J107),#REF!,J107)</f>
        <v>2.83</v>
      </c>
      <c r="P107">
        <f>IF(ISBLANK(L107),#REF!,L107)</f>
        <v>3</v>
      </c>
      <c r="Q107">
        <f t="shared" si="3"/>
        <v>0</v>
      </c>
      <c r="R107">
        <f t="shared" si="4"/>
        <v>0</v>
      </c>
      <c r="S107">
        <f t="shared" si="5"/>
        <v>1</v>
      </c>
    </row>
    <row r="108" spans="1:19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  <c r="O108">
        <f>IF(ISBLANK(J108),#REF!,J108)</f>
        <v>0.25</v>
      </c>
      <c r="P108">
        <f>IF(ISBLANK(L108),#REF!,L108)</f>
        <v>3</v>
      </c>
      <c r="Q108">
        <f t="shared" si="3"/>
        <v>0</v>
      </c>
      <c r="R108">
        <f t="shared" si="4"/>
        <v>0</v>
      </c>
      <c r="S108">
        <f t="shared" si="5"/>
        <v>1</v>
      </c>
    </row>
    <row r="109" spans="1:19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  <c r="O109">
        <f>IF(ISBLANK(J109),#REF!,J109)</f>
        <v>13.33</v>
      </c>
      <c r="P109">
        <f>IF(ISBLANK(L109),#REF!,L109)</f>
        <v>3.2</v>
      </c>
      <c r="Q109">
        <f t="shared" si="3"/>
        <v>0</v>
      </c>
      <c r="R109">
        <f t="shared" si="4"/>
        <v>0</v>
      </c>
      <c r="S109">
        <f t="shared" si="5"/>
        <v>1</v>
      </c>
    </row>
    <row r="110" spans="1:19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  <c r="O110">
        <f>IF(ISBLANK(J110),#REF!,J110)</f>
        <v>6.35</v>
      </c>
      <c r="P110">
        <f>IF(ISBLANK(L110),#REF!,L110)</f>
        <v>3.8</v>
      </c>
      <c r="Q110">
        <f t="shared" si="3"/>
        <v>0</v>
      </c>
      <c r="R110">
        <f t="shared" si="4"/>
        <v>0</v>
      </c>
      <c r="S110">
        <f t="shared" si="5"/>
        <v>0</v>
      </c>
    </row>
    <row r="111" spans="1:19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  <c r="O111">
        <f>IF(ISBLANK(J111),#REF!,J111)</f>
        <v>6.69</v>
      </c>
      <c r="P111">
        <f>IF(ISBLANK(L111),#REF!,L111)</f>
        <v>3.8</v>
      </c>
      <c r="Q111">
        <f t="shared" si="3"/>
        <v>0</v>
      </c>
      <c r="R111">
        <f t="shared" si="4"/>
        <v>0</v>
      </c>
      <c r="S111">
        <f t="shared" si="5"/>
        <v>0</v>
      </c>
    </row>
    <row r="112" spans="1:19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  <c r="O112">
        <f>IF(ISBLANK(J112),#REF!,J112)</f>
        <v>1.28</v>
      </c>
      <c r="P112">
        <f>IF(ISBLANK(L112),#REF!,L112)</f>
        <v>4.2</v>
      </c>
      <c r="Q112">
        <f t="shared" si="3"/>
        <v>0</v>
      </c>
      <c r="R112">
        <f t="shared" si="4"/>
        <v>0</v>
      </c>
      <c r="S112">
        <f t="shared" si="5"/>
        <v>0</v>
      </c>
    </row>
    <row r="113" spans="1:19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  <c r="O113">
        <f>IF(ISBLANK(J113),#REF!,J113)</f>
        <v>0.92</v>
      </c>
      <c r="P113">
        <f>IF(ISBLANK(L113),#REF!,L113)</f>
        <v>3.5</v>
      </c>
      <c r="Q113">
        <f t="shared" si="3"/>
        <v>0</v>
      </c>
      <c r="R113">
        <f t="shared" si="4"/>
        <v>0</v>
      </c>
      <c r="S113">
        <f t="shared" si="5"/>
        <v>0</v>
      </c>
    </row>
    <row r="114" spans="1:19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  <c r="O114">
        <f>IF(ISBLANK(J114),#REF!,J114)</f>
        <v>1.05</v>
      </c>
      <c r="P114">
        <f>IF(ISBLANK(L114),#REF!,L114)</f>
        <v>3.1</v>
      </c>
      <c r="Q114">
        <f t="shared" si="3"/>
        <v>0</v>
      </c>
      <c r="R114">
        <f t="shared" si="4"/>
        <v>0</v>
      </c>
      <c r="S114">
        <f t="shared" si="5"/>
        <v>1</v>
      </c>
    </row>
    <row r="115" spans="1:19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  <c r="O115">
        <f>IF(ISBLANK(J115),#REF!,J115)</f>
        <v>2.67</v>
      </c>
      <c r="P115">
        <f>IF(ISBLANK(L115),#REF!,L115)</f>
        <v>3.5</v>
      </c>
      <c r="Q115">
        <f t="shared" si="3"/>
        <v>0</v>
      </c>
      <c r="R115">
        <f t="shared" si="4"/>
        <v>0</v>
      </c>
      <c r="S115">
        <f t="shared" si="5"/>
        <v>1</v>
      </c>
    </row>
    <row r="116" spans="1:19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  <c r="O116">
        <f>IF(ISBLANK(J116),#REF!,J116)</f>
        <v>5.91</v>
      </c>
      <c r="P116">
        <f>IF(ISBLANK(L116),#REF!,L116)</f>
        <v>2.8</v>
      </c>
      <c r="Q116">
        <f t="shared" si="3"/>
        <v>0</v>
      </c>
      <c r="R116">
        <f t="shared" si="4"/>
        <v>0</v>
      </c>
      <c r="S116">
        <f t="shared" si="5"/>
        <v>1</v>
      </c>
    </row>
    <row r="117" spans="1:19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  <c r="O117">
        <f>IF(ISBLANK(J117),#REF!,J117)</f>
        <v>6.37</v>
      </c>
      <c r="P117">
        <f>IF(ISBLANK(L117),#REF!,L117)</f>
        <v>3.3</v>
      </c>
      <c r="Q117">
        <f t="shared" si="3"/>
        <v>0</v>
      </c>
      <c r="R117">
        <f t="shared" si="4"/>
        <v>0</v>
      </c>
      <c r="S117">
        <f t="shared" si="5"/>
        <v>1</v>
      </c>
    </row>
    <row r="118" spans="1:19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  <c r="O118">
        <f>IF(ISBLANK(J118),#REF!,J118)</f>
        <v>2.4900000000000002</v>
      </c>
      <c r="P118">
        <f>IF(ISBLANK(L118),#REF!,L118)</f>
        <v>4.7</v>
      </c>
      <c r="Q118">
        <f t="shared" si="3"/>
        <v>0</v>
      </c>
      <c r="R118">
        <f t="shared" si="4"/>
        <v>0</v>
      </c>
      <c r="S118">
        <f t="shared" si="5"/>
        <v>1</v>
      </c>
    </row>
    <row r="119" spans="1:19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  <c r="O119">
        <f>IF(ISBLANK(J119),#REF!,J119)</f>
        <v>1.56</v>
      </c>
      <c r="P119">
        <f>IF(ISBLANK(L119),#REF!,L119)</f>
        <v>4.7</v>
      </c>
      <c r="Q119">
        <f t="shared" si="3"/>
        <v>0</v>
      </c>
      <c r="R119">
        <f t="shared" si="4"/>
        <v>0</v>
      </c>
      <c r="S119">
        <f t="shared" si="5"/>
        <v>1</v>
      </c>
    </row>
    <row r="120" spans="1:19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  <c r="O120">
        <f>IF(ISBLANK(J120),#REF!,J120)</f>
        <v>14.95</v>
      </c>
      <c r="P120">
        <f>IF(ISBLANK(L120),#REF!,L120)</f>
        <v>4.5999999999999996</v>
      </c>
      <c r="Q120">
        <f t="shared" si="3"/>
        <v>0</v>
      </c>
      <c r="R120">
        <f t="shared" si="4"/>
        <v>0</v>
      </c>
      <c r="S120">
        <f t="shared" si="5"/>
        <v>1</v>
      </c>
    </row>
    <row r="121" spans="1:19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  <c r="O121">
        <f>IF(ISBLANK(J121),#REF!,J121)</f>
        <v>7.85</v>
      </c>
      <c r="P121">
        <f>IF(ISBLANK(L121),#REF!,L121)</f>
        <v>4.7</v>
      </c>
      <c r="Q121">
        <f t="shared" si="3"/>
        <v>0</v>
      </c>
      <c r="R121">
        <f t="shared" si="4"/>
        <v>0</v>
      </c>
      <c r="S121">
        <f t="shared" si="5"/>
        <v>1</v>
      </c>
    </row>
    <row r="122" spans="1:19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  <c r="O122">
        <f>IF(ISBLANK(J122),#REF!,J122)</f>
        <v>6.8</v>
      </c>
      <c r="P122">
        <f>IF(ISBLANK(L122),#REF!,L122)</f>
        <v>4.4000000000000004</v>
      </c>
      <c r="Q122">
        <f t="shared" si="3"/>
        <v>1</v>
      </c>
      <c r="R122">
        <f t="shared" si="4"/>
        <v>0</v>
      </c>
      <c r="S122">
        <f t="shared" si="5"/>
        <v>0</v>
      </c>
    </row>
    <row r="123" spans="1:19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  <c r="O123">
        <f>IF(ISBLANK(J123),#REF!,J123)</f>
        <v>2.2000000000000002</v>
      </c>
      <c r="P123">
        <f>IF(ISBLANK(L123),#REF!,L123)</f>
        <v>3.7</v>
      </c>
      <c r="Q123">
        <f t="shared" si="3"/>
        <v>1</v>
      </c>
      <c r="R123">
        <f t="shared" si="4"/>
        <v>0</v>
      </c>
      <c r="S123">
        <f t="shared" si="5"/>
        <v>0</v>
      </c>
    </row>
    <row r="124" spans="1:19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  <c r="O124">
        <f>IF(ISBLANK(J124),#REF!,J124)</f>
        <v>1.88</v>
      </c>
      <c r="P124">
        <f>IF(ISBLANK(L124),#REF!,L124)</f>
        <v>3.9</v>
      </c>
      <c r="Q124">
        <f t="shared" si="3"/>
        <v>1</v>
      </c>
      <c r="R124">
        <f t="shared" si="4"/>
        <v>0</v>
      </c>
      <c r="S124">
        <f t="shared" si="5"/>
        <v>0</v>
      </c>
    </row>
    <row r="125" spans="1:19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  <c r="O125">
        <f>IF(ISBLANK(J125),#REF!,J125)</f>
        <v>15.79</v>
      </c>
      <c r="P125">
        <f>IF(ISBLANK(L125),#REF!,L125)</f>
        <v>4.4000000000000004</v>
      </c>
      <c r="Q125">
        <f t="shared" si="3"/>
        <v>1</v>
      </c>
      <c r="R125">
        <f t="shared" si="4"/>
        <v>0</v>
      </c>
      <c r="S125">
        <f t="shared" si="5"/>
        <v>0</v>
      </c>
    </row>
    <row r="126" spans="1:19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  <c r="O126">
        <f>IF(ISBLANK(J126),#REF!,J126)</f>
        <v>2.34</v>
      </c>
      <c r="P126">
        <f>IF(ISBLANK(L126),#REF!,L126)</f>
        <v>4.8</v>
      </c>
      <c r="Q126">
        <f t="shared" si="3"/>
        <v>0</v>
      </c>
      <c r="R126">
        <f t="shared" si="4"/>
        <v>1</v>
      </c>
      <c r="S126">
        <f t="shared" si="5"/>
        <v>0</v>
      </c>
    </row>
    <row r="127" spans="1:19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  <c r="O127">
        <f>IF(ISBLANK(J127),#REF!,J127)</f>
        <v>0.54</v>
      </c>
      <c r="P127">
        <f>IF(ISBLANK(L127),#REF!,L127)</f>
        <v>4.4000000000000004</v>
      </c>
      <c r="Q127">
        <f t="shared" si="3"/>
        <v>0</v>
      </c>
      <c r="R127">
        <f t="shared" si="4"/>
        <v>1</v>
      </c>
      <c r="S127">
        <f t="shared" si="5"/>
        <v>0</v>
      </c>
    </row>
    <row r="128" spans="1:19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  <c r="O128">
        <f>IF(ISBLANK(J128),#REF!,J128)</f>
        <v>5.37</v>
      </c>
      <c r="P128">
        <f>IF(ISBLANK(L128),#REF!,L128)</f>
        <v>4.9000000000000004</v>
      </c>
      <c r="Q128">
        <f t="shared" si="3"/>
        <v>0</v>
      </c>
      <c r="R128">
        <f t="shared" si="4"/>
        <v>1</v>
      </c>
      <c r="S128">
        <f t="shared" si="5"/>
        <v>0</v>
      </c>
    </row>
    <row r="129" spans="1:19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  <c r="O129">
        <f>IF(ISBLANK(J129),#REF!,J129)</f>
        <v>3.19</v>
      </c>
      <c r="P129">
        <f>IF(ISBLANK(L129),#REF!,L129)</f>
        <v>4.8</v>
      </c>
      <c r="Q129">
        <f t="shared" si="3"/>
        <v>0</v>
      </c>
      <c r="R129">
        <f t="shared" si="4"/>
        <v>1</v>
      </c>
      <c r="S129">
        <f t="shared" si="5"/>
        <v>0</v>
      </c>
    </row>
    <row r="130" spans="1:19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  <c r="O130">
        <f>IF(ISBLANK(J130),#REF!,J130)</f>
        <v>1.1000000000000001</v>
      </c>
      <c r="P130">
        <f>IF(ISBLANK(L130),#REF!,L130)</f>
        <v>4.4000000000000004</v>
      </c>
      <c r="Q130">
        <f t="shared" si="3"/>
        <v>0</v>
      </c>
      <c r="R130">
        <f t="shared" si="4"/>
        <v>0</v>
      </c>
      <c r="S130">
        <f t="shared" si="5"/>
        <v>0</v>
      </c>
    </row>
    <row r="131" spans="1:19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  <c r="O131">
        <f>IF(ISBLANK(J131),#REF!,J131)</f>
        <v>0.21</v>
      </c>
      <c r="P131">
        <f>IF(ISBLANK(L131),#REF!,L131)</f>
        <v>4</v>
      </c>
      <c r="Q131">
        <f t="shared" ref="Q131:Q194" si="6">IF(TRIM($C131)="North",1,0)</f>
        <v>0</v>
      </c>
      <c r="R131">
        <f t="shared" ref="R131:R194" si="7">IF(TRIM($C131)="South",1,0)</f>
        <v>0</v>
      </c>
      <c r="S131">
        <f t="shared" ref="S131:S194" si="8">IF(TRIM($C131)="West",1,0)</f>
        <v>0</v>
      </c>
    </row>
    <row r="132" spans="1:19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  <c r="O132">
        <f>IF(ISBLANK(J132),#REF!,J132)</f>
        <v>5.12</v>
      </c>
      <c r="P132">
        <f>IF(ISBLANK(L132),#REF!,L132)</f>
        <v>4.5</v>
      </c>
      <c r="Q132">
        <f t="shared" si="6"/>
        <v>0</v>
      </c>
      <c r="R132">
        <f t="shared" si="7"/>
        <v>0</v>
      </c>
      <c r="S132">
        <f t="shared" si="8"/>
        <v>0</v>
      </c>
    </row>
    <row r="133" spans="1:19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  <c r="O133">
        <f>IF(ISBLANK(J133),#REF!,J133)</f>
        <v>9.77</v>
      </c>
      <c r="P133">
        <f>IF(ISBLANK(L133),#REF!,L133)</f>
        <v>4.5</v>
      </c>
      <c r="Q133">
        <f t="shared" si="6"/>
        <v>0</v>
      </c>
      <c r="R133">
        <f t="shared" si="7"/>
        <v>0</v>
      </c>
      <c r="S133">
        <f t="shared" si="8"/>
        <v>0</v>
      </c>
    </row>
    <row r="134" spans="1:19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  <c r="O134">
        <f>IF(ISBLANK(J134),#REF!,J134)</f>
        <v>3.77</v>
      </c>
      <c r="P134">
        <f>IF(ISBLANK(L134),#REF!,L134)</f>
        <v>4.4000000000000004</v>
      </c>
      <c r="Q134">
        <f t="shared" si="6"/>
        <v>1</v>
      </c>
      <c r="R134">
        <f t="shared" si="7"/>
        <v>0</v>
      </c>
      <c r="S134">
        <f t="shared" si="8"/>
        <v>0</v>
      </c>
    </row>
    <row r="135" spans="1:19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  <c r="O135">
        <f>IF(ISBLANK(J135),#REF!,J135)</f>
        <v>0.78</v>
      </c>
      <c r="P135" t="e">
        <f>IF(ISBLANK(L135),#REF!,L135)</f>
        <v>#REF!</v>
      </c>
      <c r="Q135">
        <f t="shared" si="6"/>
        <v>1</v>
      </c>
      <c r="R135">
        <f t="shared" si="7"/>
        <v>0</v>
      </c>
      <c r="S135">
        <f t="shared" si="8"/>
        <v>0</v>
      </c>
    </row>
    <row r="136" spans="1:19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  <c r="O136">
        <f>IF(ISBLANK(J136),#REF!,J136)</f>
        <v>5.17</v>
      </c>
      <c r="P136">
        <f>IF(ISBLANK(L136),#REF!,L136)</f>
        <v>4.4000000000000004</v>
      </c>
      <c r="Q136">
        <f t="shared" si="6"/>
        <v>1</v>
      </c>
      <c r="R136">
        <f t="shared" si="7"/>
        <v>0</v>
      </c>
      <c r="S136">
        <f t="shared" si="8"/>
        <v>0</v>
      </c>
    </row>
    <row r="137" spans="1:19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  <c r="O137">
        <f>IF(ISBLANK(J137),#REF!,J137)</f>
        <v>3.2</v>
      </c>
      <c r="P137">
        <f>IF(ISBLANK(L137),#REF!,L137)</f>
        <v>4.5999999999999996</v>
      </c>
      <c r="Q137">
        <f t="shared" si="6"/>
        <v>1</v>
      </c>
      <c r="R137">
        <f t="shared" si="7"/>
        <v>0</v>
      </c>
      <c r="S137">
        <f t="shared" si="8"/>
        <v>0</v>
      </c>
    </row>
    <row r="138" spans="1:19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  <c r="O138">
        <f>IF(ISBLANK(J138),#REF!,J138)</f>
        <v>3.4</v>
      </c>
      <c r="P138" t="e">
        <f>IF(ISBLANK(L138),#REF!,L138)</f>
        <v>#REF!</v>
      </c>
      <c r="Q138">
        <f t="shared" si="6"/>
        <v>0</v>
      </c>
      <c r="R138">
        <f t="shared" si="7"/>
        <v>1</v>
      </c>
      <c r="S138">
        <f t="shared" si="8"/>
        <v>0</v>
      </c>
    </row>
    <row r="139" spans="1:19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  <c r="O139">
        <f>IF(ISBLANK(J139),#REF!,J139)</f>
        <v>7.38</v>
      </c>
      <c r="P139">
        <f>IF(ISBLANK(L139),#REF!,L139)</f>
        <v>3.7</v>
      </c>
      <c r="Q139">
        <f t="shared" si="6"/>
        <v>0</v>
      </c>
      <c r="R139">
        <f t="shared" si="7"/>
        <v>1</v>
      </c>
      <c r="S139">
        <f t="shared" si="8"/>
        <v>0</v>
      </c>
    </row>
    <row r="140" spans="1:19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  <c r="O140">
        <f>IF(ISBLANK(J140),#REF!,J140)</f>
        <v>0.85</v>
      </c>
      <c r="P140">
        <f>IF(ISBLANK(L140),#REF!,L140)</f>
        <v>3.3</v>
      </c>
      <c r="Q140">
        <f t="shared" si="6"/>
        <v>0</v>
      </c>
      <c r="R140">
        <f t="shared" si="7"/>
        <v>1</v>
      </c>
      <c r="S140">
        <f t="shared" si="8"/>
        <v>0</v>
      </c>
    </row>
    <row r="141" spans="1:19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  <c r="O141">
        <f>IF(ISBLANK(J141),#REF!,J141)</f>
        <v>2.89</v>
      </c>
      <c r="P141">
        <f>IF(ISBLANK(L141),#REF!,L141)</f>
        <v>3.6</v>
      </c>
      <c r="Q141">
        <f t="shared" si="6"/>
        <v>0</v>
      </c>
      <c r="R141">
        <f t="shared" si="7"/>
        <v>1</v>
      </c>
      <c r="S141">
        <f t="shared" si="8"/>
        <v>0</v>
      </c>
    </row>
    <row r="142" spans="1:19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  <c r="O142">
        <f>IF(ISBLANK(J142),#REF!,J142)</f>
        <v>0.77</v>
      </c>
      <c r="P142">
        <f>IF(ISBLANK(L142),#REF!,L142)</f>
        <v>4.0999999999999996</v>
      </c>
      <c r="Q142">
        <f t="shared" si="6"/>
        <v>0</v>
      </c>
      <c r="R142">
        <f t="shared" si="7"/>
        <v>0</v>
      </c>
      <c r="S142">
        <f t="shared" si="8"/>
        <v>1</v>
      </c>
    </row>
    <row r="143" spans="1:19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  <c r="O143">
        <f>IF(ISBLANK(J143),#REF!,J143)</f>
        <v>2.92</v>
      </c>
      <c r="P143">
        <f>IF(ISBLANK(L143),#REF!,L143)</f>
        <v>4.2</v>
      </c>
      <c r="Q143">
        <f t="shared" si="6"/>
        <v>0</v>
      </c>
      <c r="R143">
        <f t="shared" si="7"/>
        <v>0</v>
      </c>
      <c r="S143">
        <f t="shared" si="8"/>
        <v>1</v>
      </c>
    </row>
    <row r="144" spans="1:19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  <c r="O144">
        <f>IF(ISBLANK(J144),#REF!,J144)</f>
        <v>3.07</v>
      </c>
      <c r="P144">
        <f>IF(ISBLANK(L144),#REF!,L144)</f>
        <v>3.8</v>
      </c>
      <c r="Q144">
        <f t="shared" si="6"/>
        <v>0</v>
      </c>
      <c r="R144">
        <f t="shared" si="7"/>
        <v>0</v>
      </c>
      <c r="S144">
        <f t="shared" si="8"/>
        <v>1</v>
      </c>
    </row>
    <row r="145" spans="1:19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  <c r="O145">
        <f>IF(ISBLANK(J145),#REF!,J145)</f>
        <v>9.6999999999999993</v>
      </c>
      <c r="P145">
        <f>IF(ISBLANK(L145),#REF!,L145)</f>
        <v>3.9</v>
      </c>
      <c r="Q145">
        <f t="shared" si="6"/>
        <v>0</v>
      </c>
      <c r="R145">
        <f t="shared" si="7"/>
        <v>0</v>
      </c>
      <c r="S145">
        <f t="shared" si="8"/>
        <v>1</v>
      </c>
    </row>
    <row r="146" spans="1:19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  <c r="O146">
        <f>IF(ISBLANK(J146),#REF!,J146)</f>
        <v>3.71</v>
      </c>
      <c r="P146">
        <f>IF(ISBLANK(L146),#REF!,L146)</f>
        <v>3.2</v>
      </c>
      <c r="Q146">
        <f t="shared" si="6"/>
        <v>1</v>
      </c>
      <c r="R146">
        <f t="shared" si="7"/>
        <v>0</v>
      </c>
      <c r="S146">
        <f t="shared" si="8"/>
        <v>0</v>
      </c>
    </row>
    <row r="147" spans="1:19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  <c r="O147">
        <f>IF(ISBLANK(J147),#REF!,J147)</f>
        <v>10.79</v>
      </c>
      <c r="P147">
        <f>IF(ISBLANK(L147),#REF!,L147)</f>
        <v>3.5</v>
      </c>
      <c r="Q147">
        <f t="shared" si="6"/>
        <v>1</v>
      </c>
      <c r="R147">
        <f t="shared" si="7"/>
        <v>0</v>
      </c>
      <c r="S147">
        <f t="shared" si="8"/>
        <v>0</v>
      </c>
    </row>
    <row r="148" spans="1:19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  <c r="O148">
        <f>IF(ISBLANK(J148),#REF!,J148)</f>
        <v>6.03</v>
      </c>
      <c r="P148">
        <f>IF(ISBLANK(L148),#REF!,L148)</f>
        <v>3.4</v>
      </c>
      <c r="Q148">
        <f t="shared" si="6"/>
        <v>1</v>
      </c>
      <c r="R148">
        <f t="shared" si="7"/>
        <v>0</v>
      </c>
      <c r="S148">
        <f t="shared" si="8"/>
        <v>0</v>
      </c>
    </row>
    <row r="149" spans="1:19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  <c r="O149">
        <f>IF(ISBLANK(J149),#REF!,J149)</f>
        <v>4.92</v>
      </c>
      <c r="P149">
        <f>IF(ISBLANK(L149),#REF!,L149)</f>
        <v>3.4</v>
      </c>
      <c r="Q149">
        <f t="shared" si="6"/>
        <v>1</v>
      </c>
      <c r="R149">
        <f t="shared" si="7"/>
        <v>0</v>
      </c>
      <c r="S149">
        <f t="shared" si="8"/>
        <v>0</v>
      </c>
    </row>
    <row r="150" spans="1:19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  <c r="O150">
        <f>IF(ISBLANK(J150),#REF!,J150)</f>
        <v>19.78</v>
      </c>
      <c r="P150">
        <f>IF(ISBLANK(L150),#REF!,L150)</f>
        <v>3.8</v>
      </c>
      <c r="Q150">
        <f t="shared" si="6"/>
        <v>0</v>
      </c>
      <c r="R150">
        <f t="shared" si="7"/>
        <v>1</v>
      </c>
      <c r="S150">
        <f t="shared" si="8"/>
        <v>0</v>
      </c>
    </row>
    <row r="151" spans="1:19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  <c r="O151">
        <f>IF(ISBLANK(J151),#REF!,J151)</f>
        <v>5.45</v>
      </c>
      <c r="P151">
        <f>IF(ISBLANK(L151),#REF!,L151)</f>
        <v>4.0999999999999996</v>
      </c>
      <c r="Q151">
        <f t="shared" si="6"/>
        <v>0</v>
      </c>
      <c r="R151">
        <f t="shared" si="7"/>
        <v>1</v>
      </c>
      <c r="S151">
        <f t="shared" si="8"/>
        <v>0</v>
      </c>
    </row>
    <row r="152" spans="1:19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  <c r="O152">
        <f>IF(ISBLANK(J152),#REF!,J152)</f>
        <v>2.33</v>
      </c>
      <c r="P152">
        <f>IF(ISBLANK(L152),#REF!,L152)</f>
        <v>3.7</v>
      </c>
      <c r="Q152">
        <f t="shared" si="6"/>
        <v>0</v>
      </c>
      <c r="R152">
        <f t="shared" si="7"/>
        <v>1</v>
      </c>
      <c r="S152">
        <f t="shared" si="8"/>
        <v>0</v>
      </c>
    </row>
    <row r="153" spans="1:19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  <c r="O153">
        <f>IF(ISBLANK(J153),#REF!,J153)</f>
        <v>3.55</v>
      </c>
      <c r="P153">
        <f>IF(ISBLANK(L153),#REF!,L153)</f>
        <v>4.0999999999999996</v>
      </c>
      <c r="Q153">
        <f t="shared" si="6"/>
        <v>0</v>
      </c>
      <c r="R153">
        <f t="shared" si="7"/>
        <v>1</v>
      </c>
      <c r="S153">
        <f t="shared" si="8"/>
        <v>0</v>
      </c>
    </row>
    <row r="154" spans="1:19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  <c r="O154">
        <f>IF(ISBLANK(J154),#REF!,J154)</f>
        <v>0.2</v>
      </c>
      <c r="P154">
        <f>IF(ISBLANK(L154),#REF!,L154)</f>
        <v>4.5</v>
      </c>
      <c r="Q154">
        <f t="shared" si="6"/>
        <v>0</v>
      </c>
      <c r="R154">
        <f t="shared" si="7"/>
        <v>0</v>
      </c>
      <c r="S154">
        <f t="shared" si="8"/>
        <v>0</v>
      </c>
    </row>
    <row r="155" spans="1:19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  <c r="O155">
        <f>IF(ISBLANK(J155),#REF!,J155)</f>
        <v>2.09</v>
      </c>
      <c r="P155">
        <f>IF(ISBLANK(L155),#REF!,L155)</f>
        <v>4.2</v>
      </c>
      <c r="Q155">
        <f t="shared" si="6"/>
        <v>0</v>
      </c>
      <c r="R155">
        <f t="shared" si="7"/>
        <v>0</v>
      </c>
      <c r="S155">
        <f t="shared" si="8"/>
        <v>0</v>
      </c>
    </row>
    <row r="156" spans="1:19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  <c r="O156">
        <f>IF(ISBLANK(J156),#REF!,J156)</f>
        <v>2.2599999999999998</v>
      </c>
      <c r="P156">
        <f>IF(ISBLANK(L156),#REF!,L156)</f>
        <v>4.2</v>
      </c>
      <c r="Q156">
        <f t="shared" si="6"/>
        <v>0</v>
      </c>
      <c r="R156">
        <f t="shared" si="7"/>
        <v>0</v>
      </c>
      <c r="S156">
        <f t="shared" si="8"/>
        <v>0</v>
      </c>
    </row>
    <row r="157" spans="1:19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  <c r="O157">
        <f>IF(ISBLANK(J157),#REF!,J157)</f>
        <v>0.44</v>
      </c>
      <c r="P157">
        <f>IF(ISBLANK(L157),#REF!,L157)</f>
        <v>4.4000000000000004</v>
      </c>
      <c r="Q157">
        <f t="shared" si="6"/>
        <v>0</v>
      </c>
      <c r="R157">
        <f t="shared" si="7"/>
        <v>0</v>
      </c>
      <c r="S157">
        <f t="shared" si="8"/>
        <v>0</v>
      </c>
    </row>
    <row r="158" spans="1:19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  <c r="O158">
        <f>IF(ISBLANK(J158),#REF!,J158)</f>
        <v>3.08</v>
      </c>
      <c r="P158">
        <f>IF(ISBLANK(L158),#REF!,L158)</f>
        <v>3.9</v>
      </c>
      <c r="Q158">
        <f t="shared" si="6"/>
        <v>1</v>
      </c>
      <c r="R158">
        <f t="shared" si="7"/>
        <v>0</v>
      </c>
      <c r="S158">
        <f t="shared" si="8"/>
        <v>0</v>
      </c>
    </row>
    <row r="159" spans="1:19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  <c r="O159">
        <f>IF(ISBLANK(J159),#REF!,J159)</f>
        <v>7.99</v>
      </c>
      <c r="P159">
        <f>IF(ISBLANK(L159),#REF!,L159)</f>
        <v>3</v>
      </c>
      <c r="Q159">
        <f t="shared" si="6"/>
        <v>1</v>
      </c>
      <c r="R159">
        <f t="shared" si="7"/>
        <v>0</v>
      </c>
      <c r="S159">
        <f t="shared" si="8"/>
        <v>0</v>
      </c>
    </row>
    <row r="160" spans="1:19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  <c r="O160">
        <f>IF(ISBLANK(J160),#REF!,J160)</f>
        <v>0.2</v>
      </c>
      <c r="P160">
        <f>IF(ISBLANK(L160),#REF!,L160)</f>
        <v>3.4</v>
      </c>
      <c r="Q160">
        <f t="shared" si="6"/>
        <v>1</v>
      </c>
      <c r="R160">
        <f t="shared" si="7"/>
        <v>0</v>
      </c>
      <c r="S160">
        <f t="shared" si="8"/>
        <v>0</v>
      </c>
    </row>
    <row r="161" spans="1:19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  <c r="O161">
        <f>IF(ISBLANK(J161),#REF!,J161)</f>
        <v>5.46</v>
      </c>
      <c r="P161">
        <f>IF(ISBLANK(L161),#REF!,L161)</f>
        <v>3.3</v>
      </c>
      <c r="Q161">
        <f t="shared" si="6"/>
        <v>1</v>
      </c>
      <c r="R161">
        <f t="shared" si="7"/>
        <v>0</v>
      </c>
      <c r="S161">
        <f t="shared" si="8"/>
        <v>0</v>
      </c>
    </row>
    <row r="162" spans="1:19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  <c r="O162">
        <f>IF(ISBLANK(J162),#REF!,J162)</f>
        <v>4.05</v>
      </c>
      <c r="P162">
        <f>IF(ISBLANK(L162),#REF!,L162)</f>
        <v>4</v>
      </c>
      <c r="Q162">
        <f t="shared" si="6"/>
        <v>0</v>
      </c>
      <c r="R162">
        <f t="shared" si="7"/>
        <v>1</v>
      </c>
      <c r="S162">
        <f t="shared" si="8"/>
        <v>0</v>
      </c>
    </row>
    <row r="163" spans="1:19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  <c r="O163">
        <f>IF(ISBLANK(J163),#REF!,J163)</f>
        <v>4.3600000000000003</v>
      </c>
      <c r="P163">
        <f>IF(ISBLANK(L163),#REF!,L163)</f>
        <v>4.2</v>
      </c>
      <c r="Q163">
        <f t="shared" si="6"/>
        <v>0</v>
      </c>
      <c r="R163">
        <f t="shared" si="7"/>
        <v>1</v>
      </c>
      <c r="S163">
        <f t="shared" si="8"/>
        <v>0</v>
      </c>
    </row>
    <row r="164" spans="1:19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  <c r="O164" t="e">
        <f>IF(ISBLANK(J164),#REF!,J164)</f>
        <v>#REF!</v>
      </c>
      <c r="P164">
        <f>IF(ISBLANK(L164),#REF!,L164)</f>
        <v>4.2</v>
      </c>
      <c r="Q164">
        <f t="shared" si="6"/>
        <v>0</v>
      </c>
      <c r="R164">
        <f t="shared" si="7"/>
        <v>1</v>
      </c>
      <c r="S164">
        <f t="shared" si="8"/>
        <v>0</v>
      </c>
    </row>
    <row r="165" spans="1:19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  <c r="O165">
        <f>IF(ISBLANK(J165),#REF!,J165)</f>
        <v>0.54</v>
      </c>
      <c r="P165">
        <f>IF(ISBLANK(L165),#REF!,L165)</f>
        <v>4.3</v>
      </c>
      <c r="Q165">
        <f t="shared" si="6"/>
        <v>0</v>
      </c>
      <c r="R165">
        <f t="shared" si="7"/>
        <v>1</v>
      </c>
      <c r="S165">
        <f t="shared" si="8"/>
        <v>0</v>
      </c>
    </row>
    <row r="166" spans="1:19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  <c r="O166">
        <f>IF(ISBLANK(J166),#REF!,J166)</f>
        <v>11.37</v>
      </c>
      <c r="P166">
        <f>IF(ISBLANK(L166),#REF!,L166)</f>
        <v>4.3</v>
      </c>
      <c r="Q166">
        <f t="shared" si="6"/>
        <v>1</v>
      </c>
      <c r="R166">
        <f t="shared" si="7"/>
        <v>0</v>
      </c>
      <c r="S166">
        <f t="shared" si="8"/>
        <v>0</v>
      </c>
    </row>
    <row r="167" spans="1:19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  <c r="O167">
        <f>IF(ISBLANK(J167),#REF!,J167)</f>
        <v>9.43</v>
      </c>
      <c r="P167">
        <f>IF(ISBLANK(L167),#REF!,L167)</f>
        <v>4.2</v>
      </c>
      <c r="Q167">
        <f t="shared" si="6"/>
        <v>1</v>
      </c>
      <c r="R167">
        <f t="shared" si="7"/>
        <v>0</v>
      </c>
      <c r="S167">
        <f t="shared" si="8"/>
        <v>0</v>
      </c>
    </row>
    <row r="168" spans="1:19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  <c r="O168">
        <f>IF(ISBLANK(J168),#REF!,J168)</f>
        <v>3.49</v>
      </c>
      <c r="P168">
        <f>IF(ISBLANK(L168),#REF!,L168)</f>
        <v>4</v>
      </c>
      <c r="Q168">
        <f t="shared" si="6"/>
        <v>1</v>
      </c>
      <c r="R168">
        <f t="shared" si="7"/>
        <v>0</v>
      </c>
      <c r="S168">
        <f t="shared" si="8"/>
        <v>0</v>
      </c>
    </row>
    <row r="169" spans="1:19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  <c r="O169">
        <f>IF(ISBLANK(J169),#REF!,J169)</f>
        <v>7.86</v>
      </c>
      <c r="P169">
        <f>IF(ISBLANK(L169),#REF!,L169)</f>
        <v>4.0999999999999996</v>
      </c>
      <c r="Q169">
        <f t="shared" si="6"/>
        <v>1</v>
      </c>
      <c r="R169">
        <f t="shared" si="7"/>
        <v>0</v>
      </c>
      <c r="S169">
        <f t="shared" si="8"/>
        <v>0</v>
      </c>
    </row>
    <row r="170" spans="1:19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  <c r="O170">
        <f>IF(ISBLANK(J170),#REF!,J170)</f>
        <v>12.55</v>
      </c>
      <c r="P170">
        <f>IF(ISBLANK(L170),#REF!,L170)</f>
        <v>4.9000000000000004</v>
      </c>
      <c r="Q170">
        <f t="shared" si="6"/>
        <v>0</v>
      </c>
      <c r="R170">
        <f t="shared" si="7"/>
        <v>0</v>
      </c>
      <c r="S170">
        <f t="shared" si="8"/>
        <v>0</v>
      </c>
    </row>
    <row r="171" spans="1:19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  <c r="O171">
        <f>IF(ISBLANK(J171),#REF!,J171)</f>
        <v>3.48</v>
      </c>
      <c r="P171">
        <f>IF(ISBLANK(L171),#REF!,L171)</f>
        <v>5</v>
      </c>
      <c r="Q171">
        <f t="shared" si="6"/>
        <v>0</v>
      </c>
      <c r="R171">
        <f t="shared" si="7"/>
        <v>0</v>
      </c>
      <c r="S171">
        <f t="shared" si="8"/>
        <v>0</v>
      </c>
    </row>
    <row r="172" spans="1:19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  <c r="O172">
        <f>IF(ISBLANK(J172),#REF!,J172)</f>
        <v>7.73</v>
      </c>
      <c r="P172">
        <f>IF(ISBLANK(L172),#REF!,L172)</f>
        <v>4.9000000000000004</v>
      </c>
      <c r="Q172">
        <f t="shared" si="6"/>
        <v>0</v>
      </c>
      <c r="R172">
        <f t="shared" si="7"/>
        <v>0</v>
      </c>
      <c r="S172">
        <f t="shared" si="8"/>
        <v>0</v>
      </c>
    </row>
    <row r="173" spans="1:19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  <c r="O173">
        <f>IF(ISBLANK(J173),#REF!,J173)</f>
        <v>0.25</v>
      </c>
      <c r="P173">
        <f>IF(ISBLANK(L173),#REF!,L173)</f>
        <v>4.4000000000000004</v>
      </c>
      <c r="Q173">
        <f t="shared" si="6"/>
        <v>0</v>
      </c>
      <c r="R173">
        <f t="shared" si="7"/>
        <v>0</v>
      </c>
      <c r="S173">
        <f t="shared" si="8"/>
        <v>0</v>
      </c>
    </row>
    <row r="174" spans="1:19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  <c r="O174">
        <f>IF(ISBLANK(J174),#REF!,J174)</f>
        <v>6.43</v>
      </c>
      <c r="P174">
        <f>IF(ISBLANK(L174),#REF!,L174)</f>
        <v>3.3</v>
      </c>
      <c r="Q174">
        <f t="shared" si="6"/>
        <v>0</v>
      </c>
      <c r="R174">
        <f t="shared" si="7"/>
        <v>0</v>
      </c>
      <c r="S174">
        <f t="shared" si="8"/>
        <v>0</v>
      </c>
    </row>
    <row r="175" spans="1:19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  <c r="O175">
        <f>IF(ISBLANK(J175),#REF!,J175)</f>
        <v>2.11</v>
      </c>
      <c r="P175">
        <f>IF(ISBLANK(L175),#REF!,L175)</f>
        <v>3.1</v>
      </c>
      <c r="Q175">
        <f t="shared" si="6"/>
        <v>0</v>
      </c>
      <c r="R175">
        <f t="shared" si="7"/>
        <v>0</v>
      </c>
      <c r="S175">
        <f t="shared" si="8"/>
        <v>0</v>
      </c>
    </row>
    <row r="176" spans="1:19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  <c r="O176">
        <f>IF(ISBLANK(J176),#REF!,J176)</f>
        <v>9.1199999999999992</v>
      </c>
      <c r="P176">
        <f>IF(ISBLANK(L176),#REF!,L176)</f>
        <v>3.6</v>
      </c>
      <c r="Q176">
        <f t="shared" si="6"/>
        <v>0</v>
      </c>
      <c r="R176">
        <f t="shared" si="7"/>
        <v>0</v>
      </c>
      <c r="S176">
        <f t="shared" si="8"/>
        <v>0</v>
      </c>
    </row>
    <row r="177" spans="1:19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  <c r="O177">
        <f>IF(ISBLANK(J177),#REF!,J177)</f>
        <v>2.71</v>
      </c>
      <c r="P177">
        <f>IF(ISBLANK(L177),#REF!,L177)</f>
        <v>3.1</v>
      </c>
      <c r="Q177">
        <f t="shared" si="6"/>
        <v>0</v>
      </c>
      <c r="R177">
        <f t="shared" si="7"/>
        <v>0</v>
      </c>
      <c r="S177">
        <f t="shared" si="8"/>
        <v>0</v>
      </c>
    </row>
    <row r="178" spans="1:19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  <c r="O178">
        <f>IF(ISBLANK(J178),#REF!,J178)</f>
        <v>3.65</v>
      </c>
      <c r="P178">
        <f>IF(ISBLANK(L178),#REF!,L178)</f>
        <v>3.7</v>
      </c>
      <c r="Q178">
        <f t="shared" si="6"/>
        <v>0</v>
      </c>
      <c r="R178">
        <f t="shared" si="7"/>
        <v>0</v>
      </c>
      <c r="S178">
        <f t="shared" si="8"/>
        <v>1</v>
      </c>
    </row>
    <row r="179" spans="1:19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  <c r="O179">
        <f>IF(ISBLANK(J179),#REF!,J179)</f>
        <v>7.86</v>
      </c>
      <c r="P179">
        <f>IF(ISBLANK(L179),#REF!,L179)</f>
        <v>4</v>
      </c>
      <c r="Q179">
        <f t="shared" si="6"/>
        <v>0</v>
      </c>
      <c r="R179">
        <f t="shared" si="7"/>
        <v>0</v>
      </c>
      <c r="S179">
        <f t="shared" si="8"/>
        <v>1</v>
      </c>
    </row>
    <row r="180" spans="1:19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  <c r="O180">
        <f>IF(ISBLANK(J180),#REF!,J180)</f>
        <v>0.3</v>
      </c>
      <c r="P180">
        <f>IF(ISBLANK(L180),#REF!,L180)</f>
        <v>4.0999999999999996</v>
      </c>
      <c r="Q180">
        <f t="shared" si="6"/>
        <v>0</v>
      </c>
      <c r="R180">
        <f t="shared" si="7"/>
        <v>0</v>
      </c>
      <c r="S180">
        <f t="shared" si="8"/>
        <v>1</v>
      </c>
    </row>
    <row r="181" spans="1:19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  <c r="O181">
        <f>IF(ISBLANK(J181),#REF!,J181)</f>
        <v>8.44</v>
      </c>
      <c r="P181">
        <f>IF(ISBLANK(L181),#REF!,L181)</f>
        <v>4.0999999999999996</v>
      </c>
      <c r="Q181">
        <f t="shared" si="6"/>
        <v>0</v>
      </c>
      <c r="R181">
        <f t="shared" si="7"/>
        <v>0</v>
      </c>
      <c r="S181">
        <f t="shared" si="8"/>
        <v>1</v>
      </c>
    </row>
    <row r="182" spans="1:19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  <c r="O182">
        <f>IF(ISBLANK(J182),#REF!,J182)</f>
        <v>5.27</v>
      </c>
      <c r="P182">
        <f>IF(ISBLANK(L182),#REF!,L182)</f>
        <v>3.9</v>
      </c>
      <c r="Q182">
        <f t="shared" si="6"/>
        <v>0</v>
      </c>
      <c r="R182">
        <f t="shared" si="7"/>
        <v>0</v>
      </c>
      <c r="S182">
        <f t="shared" si="8"/>
        <v>1</v>
      </c>
    </row>
    <row r="183" spans="1:19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  <c r="O183">
        <f>IF(ISBLANK(J183),#REF!,J183)</f>
        <v>13.22</v>
      </c>
      <c r="P183">
        <f>IF(ISBLANK(L183),#REF!,L183)</f>
        <v>3.6</v>
      </c>
      <c r="Q183">
        <f t="shared" si="6"/>
        <v>0</v>
      </c>
      <c r="R183">
        <f t="shared" si="7"/>
        <v>0</v>
      </c>
      <c r="S183">
        <f t="shared" si="8"/>
        <v>1</v>
      </c>
    </row>
    <row r="184" spans="1:19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  <c r="O184">
        <f>IF(ISBLANK(J184),#REF!,J184)</f>
        <v>1.02</v>
      </c>
      <c r="P184">
        <f>IF(ISBLANK(L184),#REF!,L184)</f>
        <v>3.8</v>
      </c>
      <c r="Q184">
        <f t="shared" si="6"/>
        <v>0</v>
      </c>
      <c r="R184">
        <f t="shared" si="7"/>
        <v>0</v>
      </c>
      <c r="S184">
        <f t="shared" si="8"/>
        <v>1</v>
      </c>
    </row>
    <row r="185" spans="1:19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  <c r="O185">
        <f>IF(ISBLANK(J185),#REF!,J185)</f>
        <v>4.03</v>
      </c>
      <c r="P185">
        <f>IF(ISBLANK(L185),#REF!,L185)</f>
        <v>3.1</v>
      </c>
      <c r="Q185">
        <f t="shared" si="6"/>
        <v>0</v>
      </c>
      <c r="R185">
        <f t="shared" si="7"/>
        <v>0</v>
      </c>
      <c r="S185">
        <f t="shared" si="8"/>
        <v>1</v>
      </c>
    </row>
    <row r="186" spans="1:19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  <c r="O186">
        <f>IF(ISBLANK(J186),#REF!,J186)</f>
        <v>2.34</v>
      </c>
      <c r="P186">
        <f>IF(ISBLANK(L186),#REF!,L186)</f>
        <v>4.4000000000000004</v>
      </c>
      <c r="Q186">
        <f t="shared" si="6"/>
        <v>1</v>
      </c>
      <c r="R186">
        <f t="shared" si="7"/>
        <v>0</v>
      </c>
      <c r="S186">
        <f t="shared" si="8"/>
        <v>0</v>
      </c>
    </row>
    <row r="187" spans="1:19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  <c r="O187">
        <f>IF(ISBLANK(J187),#REF!,J187)</f>
        <v>8.51</v>
      </c>
      <c r="P187">
        <f>IF(ISBLANK(L187),#REF!,L187)</f>
        <v>4.4000000000000004</v>
      </c>
      <c r="Q187">
        <f t="shared" si="6"/>
        <v>1</v>
      </c>
      <c r="R187">
        <f t="shared" si="7"/>
        <v>0</v>
      </c>
      <c r="S187">
        <f t="shared" si="8"/>
        <v>0</v>
      </c>
    </row>
    <row r="188" spans="1:19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  <c r="O188">
        <f>IF(ISBLANK(J188),#REF!,J188)</f>
        <v>0.48</v>
      </c>
      <c r="P188">
        <f>IF(ISBLANK(L188),#REF!,L188)</f>
        <v>4.3</v>
      </c>
      <c r="Q188">
        <f t="shared" si="6"/>
        <v>1</v>
      </c>
      <c r="R188">
        <f t="shared" si="7"/>
        <v>0</v>
      </c>
      <c r="S188">
        <f t="shared" si="8"/>
        <v>0</v>
      </c>
    </row>
    <row r="189" spans="1:19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  <c r="O189">
        <f>IF(ISBLANK(J189),#REF!,J189)</f>
        <v>13.62</v>
      </c>
      <c r="P189">
        <f>IF(ISBLANK(L189),#REF!,L189)</f>
        <v>4.2</v>
      </c>
      <c r="Q189">
        <f t="shared" si="6"/>
        <v>1</v>
      </c>
      <c r="R189">
        <f t="shared" si="7"/>
        <v>0</v>
      </c>
      <c r="S189">
        <f t="shared" si="8"/>
        <v>0</v>
      </c>
    </row>
    <row r="190" spans="1:19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  <c r="O190">
        <f>IF(ISBLANK(J190),#REF!,J190)</f>
        <v>7.77</v>
      </c>
      <c r="P190">
        <f>IF(ISBLANK(L190),#REF!,L190)</f>
        <v>4.0999999999999996</v>
      </c>
      <c r="Q190">
        <f t="shared" si="6"/>
        <v>0</v>
      </c>
      <c r="R190">
        <f t="shared" si="7"/>
        <v>0</v>
      </c>
      <c r="S190">
        <f t="shared" si="8"/>
        <v>0</v>
      </c>
    </row>
    <row r="191" spans="1:19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  <c r="O191">
        <f>IF(ISBLANK(J191),#REF!,J191)</f>
        <v>1.99</v>
      </c>
      <c r="P191">
        <f>IF(ISBLANK(L191),#REF!,L191)</f>
        <v>3.8</v>
      </c>
      <c r="Q191">
        <f t="shared" si="6"/>
        <v>0</v>
      </c>
      <c r="R191">
        <f t="shared" si="7"/>
        <v>0</v>
      </c>
      <c r="S191">
        <f t="shared" si="8"/>
        <v>0</v>
      </c>
    </row>
    <row r="192" spans="1:19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  <c r="O192">
        <f>IF(ISBLANK(J192),#REF!,J192)</f>
        <v>4.7699999999999996</v>
      </c>
      <c r="P192">
        <f>IF(ISBLANK(L192),#REF!,L192)</f>
        <v>3.8</v>
      </c>
      <c r="Q192">
        <f t="shared" si="6"/>
        <v>0</v>
      </c>
      <c r="R192">
        <f t="shared" si="7"/>
        <v>0</v>
      </c>
      <c r="S192">
        <f t="shared" si="8"/>
        <v>0</v>
      </c>
    </row>
    <row r="193" spans="1:19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  <c r="O193">
        <f>IF(ISBLANK(J193),#REF!,J193)</f>
        <v>0.2</v>
      </c>
      <c r="P193">
        <f>IF(ISBLANK(L193),#REF!,L193)</f>
        <v>4.4000000000000004</v>
      </c>
      <c r="Q193">
        <f t="shared" si="6"/>
        <v>0</v>
      </c>
      <c r="R193">
        <f t="shared" si="7"/>
        <v>0</v>
      </c>
      <c r="S193">
        <f t="shared" si="8"/>
        <v>0</v>
      </c>
    </row>
    <row r="194" spans="1:19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  <c r="O194">
        <f>IF(ISBLANK(J194),#REF!,J194)</f>
        <v>0.53</v>
      </c>
      <c r="P194">
        <f>IF(ISBLANK(L194),#REF!,L194)</f>
        <v>3.2</v>
      </c>
      <c r="Q194">
        <f t="shared" si="6"/>
        <v>0</v>
      </c>
      <c r="R194">
        <f t="shared" si="7"/>
        <v>0</v>
      </c>
      <c r="S194">
        <f t="shared" si="8"/>
        <v>1</v>
      </c>
    </row>
    <row r="195" spans="1:19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  <c r="O195">
        <f>IF(ISBLANK(J195),#REF!,J195)</f>
        <v>1.54</v>
      </c>
      <c r="P195">
        <f>IF(ISBLANK(L195),#REF!,L195)</f>
        <v>3.2</v>
      </c>
      <c r="Q195">
        <f t="shared" ref="Q195:Q258" si="9">IF(TRIM($C195)="North",1,0)</f>
        <v>0</v>
      </c>
      <c r="R195">
        <f t="shared" ref="R195:R258" si="10">IF(TRIM($C195)="South",1,0)</f>
        <v>0</v>
      </c>
      <c r="S195">
        <f t="shared" ref="S195:S258" si="11">IF(TRIM($C195)="West",1,0)</f>
        <v>1</v>
      </c>
    </row>
    <row r="196" spans="1:19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  <c r="O196">
        <f>IF(ISBLANK(J196),#REF!,J196)</f>
        <v>3.63</v>
      </c>
      <c r="P196">
        <f>IF(ISBLANK(L196),#REF!,L196)</f>
        <v>3.7</v>
      </c>
      <c r="Q196">
        <f t="shared" si="9"/>
        <v>0</v>
      </c>
      <c r="R196">
        <f t="shared" si="10"/>
        <v>0</v>
      </c>
      <c r="S196">
        <f t="shared" si="11"/>
        <v>1</v>
      </c>
    </row>
    <row r="197" spans="1:19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  <c r="O197">
        <f>IF(ISBLANK(J197),#REF!,J197)</f>
        <v>13.48</v>
      </c>
      <c r="P197" t="e">
        <f>IF(ISBLANK(L197),#REF!,L197)</f>
        <v>#REF!</v>
      </c>
      <c r="Q197">
        <f t="shared" si="9"/>
        <v>0</v>
      </c>
      <c r="R197">
        <f t="shared" si="10"/>
        <v>0</v>
      </c>
      <c r="S197">
        <f t="shared" si="11"/>
        <v>1</v>
      </c>
    </row>
    <row r="198" spans="1:19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  <c r="O198">
        <f>IF(ISBLANK(J198),#REF!,J198)</f>
        <v>0.2</v>
      </c>
      <c r="P198">
        <f>IF(ISBLANK(L198),#REF!,L198)</f>
        <v>4.2</v>
      </c>
      <c r="Q198">
        <f t="shared" si="9"/>
        <v>1</v>
      </c>
      <c r="R198">
        <f t="shared" si="10"/>
        <v>0</v>
      </c>
      <c r="S198">
        <f t="shared" si="11"/>
        <v>0</v>
      </c>
    </row>
    <row r="199" spans="1:19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  <c r="O199">
        <f>IF(ISBLANK(J199),#REF!,J199)</f>
        <v>12.82</v>
      </c>
      <c r="P199">
        <f>IF(ISBLANK(L199),#REF!,L199)</f>
        <v>4.5999999999999996</v>
      </c>
      <c r="Q199">
        <f t="shared" si="9"/>
        <v>1</v>
      </c>
      <c r="R199">
        <f t="shared" si="10"/>
        <v>0</v>
      </c>
      <c r="S199">
        <f t="shared" si="11"/>
        <v>0</v>
      </c>
    </row>
    <row r="200" spans="1:19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  <c r="O200">
        <f>IF(ISBLANK(J200),#REF!,J200)</f>
        <v>2.2400000000000002</v>
      </c>
      <c r="P200">
        <f>IF(ISBLANK(L200),#REF!,L200)</f>
        <v>4.3</v>
      </c>
      <c r="Q200">
        <f t="shared" si="9"/>
        <v>1</v>
      </c>
      <c r="R200">
        <f t="shared" si="10"/>
        <v>0</v>
      </c>
      <c r="S200">
        <f t="shared" si="11"/>
        <v>0</v>
      </c>
    </row>
    <row r="201" spans="1:19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  <c r="O201">
        <f>IF(ISBLANK(J201),#REF!,J201)</f>
        <v>1.8</v>
      </c>
      <c r="P201">
        <f>IF(ISBLANK(L201),#REF!,L201)</f>
        <v>4.8</v>
      </c>
      <c r="Q201">
        <f t="shared" si="9"/>
        <v>1</v>
      </c>
      <c r="R201">
        <f t="shared" si="10"/>
        <v>0</v>
      </c>
      <c r="S201">
        <f t="shared" si="11"/>
        <v>0</v>
      </c>
    </row>
    <row r="202" spans="1:19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  <c r="O202">
        <f>IF(ISBLANK(J202),#REF!,J202)</f>
        <v>0.41</v>
      </c>
      <c r="P202">
        <f>IF(ISBLANK(L202),#REF!,L202)</f>
        <v>4.5999999999999996</v>
      </c>
      <c r="Q202">
        <f t="shared" si="9"/>
        <v>0</v>
      </c>
      <c r="R202">
        <f t="shared" si="10"/>
        <v>0</v>
      </c>
      <c r="S202">
        <f t="shared" si="11"/>
        <v>0</v>
      </c>
    </row>
    <row r="203" spans="1:19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  <c r="O203">
        <f>IF(ISBLANK(J203),#REF!,J203)</f>
        <v>3.05</v>
      </c>
      <c r="P203">
        <f>IF(ISBLANK(L203),#REF!,L203)</f>
        <v>4.8</v>
      </c>
      <c r="Q203">
        <f t="shared" si="9"/>
        <v>0</v>
      </c>
      <c r="R203">
        <f t="shared" si="10"/>
        <v>0</v>
      </c>
      <c r="S203">
        <f t="shared" si="11"/>
        <v>0</v>
      </c>
    </row>
    <row r="204" spans="1:19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  <c r="O204">
        <f>IF(ISBLANK(J204),#REF!,J204)</f>
        <v>8.44</v>
      </c>
      <c r="P204">
        <f>IF(ISBLANK(L204),#REF!,L204)</f>
        <v>5</v>
      </c>
      <c r="Q204">
        <f t="shared" si="9"/>
        <v>0</v>
      </c>
      <c r="R204">
        <f t="shared" si="10"/>
        <v>0</v>
      </c>
      <c r="S204">
        <f t="shared" si="11"/>
        <v>0</v>
      </c>
    </row>
    <row r="205" spans="1:19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  <c r="O205">
        <f>IF(ISBLANK(J205),#REF!,J205)</f>
        <v>0.78</v>
      </c>
      <c r="P205">
        <f>IF(ISBLANK(L205),#REF!,L205)</f>
        <v>4</v>
      </c>
      <c r="Q205">
        <f t="shared" si="9"/>
        <v>0</v>
      </c>
      <c r="R205">
        <f t="shared" si="10"/>
        <v>0</v>
      </c>
      <c r="S205">
        <f t="shared" si="11"/>
        <v>0</v>
      </c>
    </row>
    <row r="206" spans="1:19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  <c r="O206">
        <f>IF(ISBLANK(J206),#REF!,J206)</f>
        <v>0.87</v>
      </c>
      <c r="P206">
        <f>IF(ISBLANK(L206),#REF!,L206)</f>
        <v>3.7</v>
      </c>
      <c r="Q206">
        <f t="shared" si="9"/>
        <v>0</v>
      </c>
      <c r="R206">
        <f t="shared" si="10"/>
        <v>0</v>
      </c>
      <c r="S206">
        <f t="shared" si="11"/>
        <v>0</v>
      </c>
    </row>
    <row r="207" spans="1:19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  <c r="O207">
        <f>IF(ISBLANK(J207),#REF!,J207)</f>
        <v>0.95</v>
      </c>
      <c r="P207">
        <f>IF(ISBLANK(L207),#REF!,L207)</f>
        <v>3.7</v>
      </c>
      <c r="Q207">
        <f t="shared" si="9"/>
        <v>0</v>
      </c>
      <c r="R207">
        <f t="shared" si="10"/>
        <v>0</v>
      </c>
      <c r="S207">
        <f t="shared" si="11"/>
        <v>0</v>
      </c>
    </row>
    <row r="208" spans="1:19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  <c r="O208">
        <f>IF(ISBLANK(J208),#REF!,J208)</f>
        <v>3.82</v>
      </c>
      <c r="P208">
        <f>IF(ISBLANK(L208),#REF!,L208)</f>
        <v>3.7</v>
      </c>
      <c r="Q208">
        <f t="shared" si="9"/>
        <v>0</v>
      </c>
      <c r="R208">
        <f t="shared" si="10"/>
        <v>0</v>
      </c>
      <c r="S208">
        <f t="shared" si="11"/>
        <v>0</v>
      </c>
    </row>
    <row r="209" spans="1:19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  <c r="O209">
        <f>IF(ISBLANK(J209),#REF!,J209)</f>
        <v>2.7</v>
      </c>
      <c r="P209">
        <f>IF(ISBLANK(L209),#REF!,L209)</f>
        <v>3.7</v>
      </c>
      <c r="Q209">
        <f t="shared" si="9"/>
        <v>0</v>
      </c>
      <c r="R209">
        <f t="shared" si="10"/>
        <v>0</v>
      </c>
      <c r="S209">
        <f t="shared" si="11"/>
        <v>0</v>
      </c>
    </row>
    <row r="210" spans="1:19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  <c r="O210">
        <f>IF(ISBLANK(J210),#REF!,J210)</f>
        <v>3.84</v>
      </c>
      <c r="P210">
        <f>IF(ISBLANK(L210),#REF!,L210)</f>
        <v>3.7</v>
      </c>
      <c r="Q210">
        <f t="shared" si="9"/>
        <v>0</v>
      </c>
      <c r="R210">
        <f t="shared" si="10"/>
        <v>0</v>
      </c>
      <c r="S210">
        <f t="shared" si="11"/>
        <v>0</v>
      </c>
    </row>
    <row r="211" spans="1:19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  <c r="O211">
        <f>IF(ISBLANK(J211),#REF!,J211)</f>
        <v>5.09</v>
      </c>
      <c r="P211">
        <f>IF(ISBLANK(L211),#REF!,L211)</f>
        <v>3.3</v>
      </c>
      <c r="Q211">
        <f t="shared" si="9"/>
        <v>0</v>
      </c>
      <c r="R211">
        <f t="shared" si="10"/>
        <v>0</v>
      </c>
      <c r="S211">
        <f t="shared" si="11"/>
        <v>0</v>
      </c>
    </row>
    <row r="212" spans="1:19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  <c r="O212">
        <f>IF(ISBLANK(J212),#REF!,J212)</f>
        <v>3.82</v>
      </c>
      <c r="P212">
        <f>IF(ISBLANK(L212),#REF!,L212)</f>
        <v>3.7</v>
      </c>
      <c r="Q212">
        <f t="shared" si="9"/>
        <v>0</v>
      </c>
      <c r="R212">
        <f t="shared" si="10"/>
        <v>0</v>
      </c>
      <c r="S212">
        <f t="shared" si="11"/>
        <v>0</v>
      </c>
    </row>
    <row r="213" spans="1:19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  <c r="O213">
        <f>IF(ISBLANK(J213),#REF!,J213)</f>
        <v>12.28</v>
      </c>
      <c r="P213">
        <f>IF(ISBLANK(L213),#REF!,L213)</f>
        <v>4.0999999999999996</v>
      </c>
      <c r="Q213">
        <f t="shared" si="9"/>
        <v>0</v>
      </c>
      <c r="R213">
        <f t="shared" si="10"/>
        <v>0</v>
      </c>
      <c r="S213">
        <f t="shared" si="11"/>
        <v>0</v>
      </c>
    </row>
    <row r="214" spans="1:19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  <c r="O214">
        <f>IF(ISBLANK(J214),#REF!,J214)</f>
        <v>2.8</v>
      </c>
      <c r="P214">
        <f>IF(ISBLANK(L214),#REF!,L214)</f>
        <v>4.3</v>
      </c>
      <c r="Q214">
        <f t="shared" si="9"/>
        <v>0</v>
      </c>
      <c r="R214">
        <f t="shared" si="10"/>
        <v>0</v>
      </c>
      <c r="S214">
        <f t="shared" si="11"/>
        <v>1</v>
      </c>
    </row>
    <row r="215" spans="1:19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  <c r="O215">
        <f>IF(ISBLANK(J215),#REF!,J215)</f>
        <v>3.67</v>
      </c>
      <c r="P215">
        <f>IF(ISBLANK(L215),#REF!,L215)</f>
        <v>4.2</v>
      </c>
      <c r="Q215">
        <f t="shared" si="9"/>
        <v>0</v>
      </c>
      <c r="R215">
        <f t="shared" si="10"/>
        <v>0</v>
      </c>
      <c r="S215">
        <f t="shared" si="11"/>
        <v>1</v>
      </c>
    </row>
    <row r="216" spans="1:19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  <c r="O216">
        <f>IF(ISBLANK(J216),#REF!,J216)</f>
        <v>2.81</v>
      </c>
      <c r="P216">
        <f>IF(ISBLANK(L216),#REF!,L216)</f>
        <v>4.7</v>
      </c>
      <c r="Q216">
        <f t="shared" si="9"/>
        <v>0</v>
      </c>
      <c r="R216">
        <f t="shared" si="10"/>
        <v>0</v>
      </c>
      <c r="S216">
        <f t="shared" si="11"/>
        <v>1</v>
      </c>
    </row>
    <row r="217" spans="1:19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  <c r="O217">
        <f>IF(ISBLANK(J217),#REF!,J217)</f>
        <v>2.44</v>
      </c>
      <c r="P217">
        <f>IF(ISBLANK(L217),#REF!,L217)</f>
        <v>4.9000000000000004</v>
      </c>
      <c r="Q217">
        <f t="shared" si="9"/>
        <v>0</v>
      </c>
      <c r="R217">
        <f t="shared" si="10"/>
        <v>0</v>
      </c>
      <c r="S217">
        <f t="shared" si="11"/>
        <v>1</v>
      </c>
    </row>
    <row r="218" spans="1:19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  <c r="O218">
        <f>IF(ISBLANK(J218),#REF!,J218)</f>
        <v>3.27</v>
      </c>
      <c r="P218">
        <f>IF(ISBLANK(L218),#REF!,L218)</f>
        <v>3.3</v>
      </c>
      <c r="Q218">
        <f t="shared" si="9"/>
        <v>1</v>
      </c>
      <c r="R218">
        <f t="shared" si="10"/>
        <v>0</v>
      </c>
      <c r="S218">
        <f t="shared" si="11"/>
        <v>0</v>
      </c>
    </row>
    <row r="219" spans="1:19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  <c r="O219">
        <f>IF(ISBLANK(J219),#REF!,J219)</f>
        <v>10.34</v>
      </c>
      <c r="P219">
        <f>IF(ISBLANK(L219),#REF!,L219)</f>
        <v>3.9</v>
      </c>
      <c r="Q219">
        <f t="shared" si="9"/>
        <v>1</v>
      </c>
      <c r="R219">
        <f t="shared" si="10"/>
        <v>0</v>
      </c>
      <c r="S219">
        <f t="shared" si="11"/>
        <v>0</v>
      </c>
    </row>
    <row r="220" spans="1:19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  <c r="O220">
        <f>IF(ISBLANK(J220),#REF!,J220)</f>
        <v>1.92</v>
      </c>
      <c r="P220">
        <f>IF(ISBLANK(L220),#REF!,L220)</f>
        <v>3.7</v>
      </c>
      <c r="Q220">
        <f t="shared" si="9"/>
        <v>1</v>
      </c>
      <c r="R220">
        <f t="shared" si="10"/>
        <v>0</v>
      </c>
      <c r="S220">
        <f t="shared" si="11"/>
        <v>0</v>
      </c>
    </row>
    <row r="221" spans="1:19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  <c r="O221">
        <f>IF(ISBLANK(J221),#REF!,J221)</f>
        <v>3.1</v>
      </c>
      <c r="P221">
        <f>IF(ISBLANK(L221),#REF!,L221)</f>
        <v>3.9</v>
      </c>
      <c r="Q221">
        <f t="shared" si="9"/>
        <v>1</v>
      </c>
      <c r="R221">
        <f t="shared" si="10"/>
        <v>0</v>
      </c>
      <c r="S221">
        <f t="shared" si="11"/>
        <v>0</v>
      </c>
    </row>
    <row r="222" spans="1:19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  <c r="O222">
        <f>IF(ISBLANK(J222),#REF!,J222)</f>
        <v>6.34</v>
      </c>
      <c r="P222">
        <f>IF(ISBLANK(L222),#REF!,L222)</f>
        <v>3.8</v>
      </c>
      <c r="Q222">
        <f t="shared" si="9"/>
        <v>0</v>
      </c>
      <c r="R222">
        <f t="shared" si="10"/>
        <v>0</v>
      </c>
      <c r="S222">
        <f t="shared" si="11"/>
        <v>0</v>
      </c>
    </row>
    <row r="223" spans="1:19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  <c r="O223">
        <f>IF(ISBLANK(J223),#REF!,J223)</f>
        <v>1.2</v>
      </c>
      <c r="P223">
        <f>IF(ISBLANK(L223),#REF!,L223)</f>
        <v>3.4</v>
      </c>
      <c r="Q223">
        <f t="shared" si="9"/>
        <v>0</v>
      </c>
      <c r="R223">
        <f t="shared" si="10"/>
        <v>0</v>
      </c>
      <c r="S223">
        <f t="shared" si="11"/>
        <v>0</v>
      </c>
    </row>
    <row r="224" spans="1:19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  <c r="O224">
        <f>IF(ISBLANK(J224),#REF!,J224)</f>
        <v>4.5</v>
      </c>
      <c r="P224">
        <f>IF(ISBLANK(L224),#REF!,L224)</f>
        <v>3.3</v>
      </c>
      <c r="Q224">
        <f t="shared" si="9"/>
        <v>0</v>
      </c>
      <c r="R224">
        <f t="shared" si="10"/>
        <v>0</v>
      </c>
      <c r="S224">
        <f t="shared" si="11"/>
        <v>0</v>
      </c>
    </row>
    <row r="225" spans="1:19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  <c r="O225">
        <f>IF(ISBLANK(J225),#REF!,J225)</f>
        <v>6.68</v>
      </c>
      <c r="P225">
        <f>IF(ISBLANK(L225),#REF!,L225)</f>
        <v>3.6</v>
      </c>
      <c r="Q225">
        <f t="shared" si="9"/>
        <v>0</v>
      </c>
      <c r="R225">
        <f t="shared" si="10"/>
        <v>0</v>
      </c>
      <c r="S225">
        <f t="shared" si="11"/>
        <v>0</v>
      </c>
    </row>
    <row r="226" spans="1:19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  <c r="O226">
        <f>IF(ISBLANK(J226),#REF!,J226)</f>
        <v>4.07</v>
      </c>
      <c r="P226">
        <f>IF(ISBLANK(L226),#REF!,L226)</f>
        <v>3</v>
      </c>
      <c r="Q226">
        <f t="shared" si="9"/>
        <v>0</v>
      </c>
      <c r="R226">
        <f t="shared" si="10"/>
        <v>0</v>
      </c>
      <c r="S226">
        <f t="shared" si="11"/>
        <v>0</v>
      </c>
    </row>
    <row r="227" spans="1:19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  <c r="O227">
        <f>IF(ISBLANK(J227),#REF!,J227)</f>
        <v>5.45</v>
      </c>
      <c r="P227">
        <f>IF(ISBLANK(L227),#REF!,L227)</f>
        <v>3.4</v>
      </c>
      <c r="Q227">
        <f t="shared" si="9"/>
        <v>0</v>
      </c>
      <c r="R227">
        <f t="shared" si="10"/>
        <v>0</v>
      </c>
      <c r="S227">
        <f t="shared" si="11"/>
        <v>0</v>
      </c>
    </row>
    <row r="228" spans="1:19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  <c r="O228">
        <f>IF(ISBLANK(J228),#REF!,J228)</f>
        <v>15.58</v>
      </c>
      <c r="P228">
        <f>IF(ISBLANK(L228),#REF!,L228)</f>
        <v>3.3</v>
      </c>
      <c r="Q228">
        <f t="shared" si="9"/>
        <v>0</v>
      </c>
      <c r="R228">
        <f t="shared" si="10"/>
        <v>0</v>
      </c>
      <c r="S228">
        <f t="shared" si="11"/>
        <v>0</v>
      </c>
    </row>
    <row r="229" spans="1:19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  <c r="O229">
        <f>IF(ISBLANK(J229),#REF!,J229)</f>
        <v>5.32</v>
      </c>
      <c r="P229" t="e">
        <f>IF(ISBLANK(L229),#REF!,L229)</f>
        <v>#REF!</v>
      </c>
      <c r="Q229">
        <f t="shared" si="9"/>
        <v>0</v>
      </c>
      <c r="R229">
        <f t="shared" si="10"/>
        <v>0</v>
      </c>
      <c r="S229">
        <f t="shared" si="11"/>
        <v>0</v>
      </c>
    </row>
    <row r="230" spans="1:19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  <c r="O230">
        <f>IF(ISBLANK(J230),#REF!,J230)</f>
        <v>0.37</v>
      </c>
      <c r="P230">
        <f>IF(ISBLANK(L230),#REF!,L230)</f>
        <v>3.8</v>
      </c>
      <c r="Q230">
        <f t="shared" si="9"/>
        <v>0</v>
      </c>
      <c r="R230">
        <f t="shared" si="10"/>
        <v>0</v>
      </c>
      <c r="S230">
        <f t="shared" si="11"/>
        <v>0</v>
      </c>
    </row>
    <row r="231" spans="1:19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  <c r="O231">
        <f>IF(ISBLANK(J231),#REF!,J231)</f>
        <v>21.63</v>
      </c>
      <c r="P231">
        <f>IF(ISBLANK(L231),#REF!,L231)</f>
        <v>4</v>
      </c>
      <c r="Q231">
        <f t="shared" si="9"/>
        <v>0</v>
      </c>
      <c r="R231">
        <f t="shared" si="10"/>
        <v>0</v>
      </c>
      <c r="S231">
        <f t="shared" si="11"/>
        <v>0</v>
      </c>
    </row>
    <row r="232" spans="1:19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  <c r="O232">
        <f>IF(ISBLANK(J232),#REF!,J232)</f>
        <v>2.48</v>
      </c>
      <c r="P232">
        <f>IF(ISBLANK(L232),#REF!,L232)</f>
        <v>3.9</v>
      </c>
      <c r="Q232">
        <f t="shared" si="9"/>
        <v>0</v>
      </c>
      <c r="R232">
        <f t="shared" si="10"/>
        <v>0</v>
      </c>
      <c r="S232">
        <f t="shared" si="11"/>
        <v>0</v>
      </c>
    </row>
    <row r="233" spans="1:19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  <c r="O233" t="e">
        <f>IF(ISBLANK(J233),#REF!,J233)</f>
        <v>#REF!</v>
      </c>
      <c r="P233">
        <f>IF(ISBLANK(L233),#REF!,L233)</f>
        <v>3.7</v>
      </c>
      <c r="Q233">
        <f t="shared" si="9"/>
        <v>0</v>
      </c>
      <c r="R233">
        <f t="shared" si="10"/>
        <v>0</v>
      </c>
      <c r="S233">
        <f t="shared" si="11"/>
        <v>0</v>
      </c>
    </row>
    <row r="234" spans="1:19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  <c r="O234">
        <f>IF(ISBLANK(J234),#REF!,J234)</f>
        <v>0.85</v>
      </c>
      <c r="P234">
        <f>IF(ISBLANK(L234),#REF!,L234)</f>
        <v>4.3</v>
      </c>
      <c r="Q234">
        <f t="shared" si="9"/>
        <v>0</v>
      </c>
      <c r="R234">
        <f t="shared" si="10"/>
        <v>0</v>
      </c>
      <c r="S234">
        <f t="shared" si="11"/>
        <v>1</v>
      </c>
    </row>
    <row r="235" spans="1:19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  <c r="O235">
        <f>IF(ISBLANK(J235),#REF!,J235)</f>
        <v>2.13</v>
      </c>
      <c r="P235">
        <f>IF(ISBLANK(L235),#REF!,L235)</f>
        <v>4</v>
      </c>
      <c r="Q235">
        <f t="shared" si="9"/>
        <v>0</v>
      </c>
      <c r="R235">
        <f t="shared" si="10"/>
        <v>0</v>
      </c>
      <c r="S235">
        <f t="shared" si="11"/>
        <v>1</v>
      </c>
    </row>
    <row r="236" spans="1:19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  <c r="O236">
        <f>IF(ISBLANK(J236),#REF!,J236)</f>
        <v>1.46</v>
      </c>
      <c r="P236">
        <f>IF(ISBLANK(L236),#REF!,L236)</f>
        <v>4.5</v>
      </c>
      <c r="Q236">
        <f t="shared" si="9"/>
        <v>0</v>
      </c>
      <c r="R236">
        <f t="shared" si="10"/>
        <v>0</v>
      </c>
      <c r="S236">
        <f t="shared" si="11"/>
        <v>1</v>
      </c>
    </row>
    <row r="237" spans="1:19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  <c r="O237">
        <f>IF(ISBLANK(J237),#REF!,J237)</f>
        <v>3.02</v>
      </c>
      <c r="P237">
        <f>IF(ISBLANK(L237),#REF!,L237)</f>
        <v>4.0999999999999996</v>
      </c>
      <c r="Q237">
        <f t="shared" si="9"/>
        <v>0</v>
      </c>
      <c r="R237">
        <f t="shared" si="10"/>
        <v>0</v>
      </c>
      <c r="S237">
        <f t="shared" si="11"/>
        <v>1</v>
      </c>
    </row>
    <row r="238" spans="1:19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  <c r="O238">
        <f>IF(ISBLANK(J238),#REF!,J238)</f>
        <v>3.22</v>
      </c>
      <c r="P238">
        <f>IF(ISBLANK(L238),#REF!,L238)</f>
        <v>3.7</v>
      </c>
      <c r="Q238">
        <f t="shared" si="9"/>
        <v>0</v>
      </c>
      <c r="R238">
        <f t="shared" si="10"/>
        <v>0</v>
      </c>
      <c r="S238">
        <f t="shared" si="11"/>
        <v>1</v>
      </c>
    </row>
    <row r="239" spans="1:19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  <c r="O239">
        <f>IF(ISBLANK(J239),#REF!,J239)</f>
        <v>15.66</v>
      </c>
      <c r="P239">
        <f>IF(ISBLANK(L239),#REF!,L239)</f>
        <v>3.4</v>
      </c>
      <c r="Q239">
        <f t="shared" si="9"/>
        <v>0</v>
      </c>
      <c r="R239">
        <f t="shared" si="10"/>
        <v>0</v>
      </c>
      <c r="S239">
        <f t="shared" si="11"/>
        <v>1</v>
      </c>
    </row>
    <row r="240" spans="1:19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  <c r="O240">
        <f>IF(ISBLANK(J240),#REF!,J240)</f>
        <v>6.96</v>
      </c>
      <c r="P240">
        <f>IF(ISBLANK(L240),#REF!,L240)</f>
        <v>3.2</v>
      </c>
      <c r="Q240">
        <f t="shared" si="9"/>
        <v>0</v>
      </c>
      <c r="R240">
        <f t="shared" si="10"/>
        <v>0</v>
      </c>
      <c r="S240">
        <f t="shared" si="11"/>
        <v>1</v>
      </c>
    </row>
    <row r="241" spans="1:19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  <c r="O241">
        <f>IF(ISBLANK(J241),#REF!,J241)</f>
        <v>4.62</v>
      </c>
      <c r="P241">
        <f>IF(ISBLANK(L241),#REF!,L241)</f>
        <v>3.3</v>
      </c>
      <c r="Q241">
        <f t="shared" si="9"/>
        <v>0</v>
      </c>
      <c r="R241">
        <f t="shared" si="10"/>
        <v>0</v>
      </c>
      <c r="S241">
        <f t="shared" si="11"/>
        <v>1</v>
      </c>
    </row>
    <row r="242" spans="1:19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  <c r="O242">
        <f>IF(ISBLANK(J242),#REF!,J242)</f>
        <v>10.68</v>
      </c>
      <c r="P242">
        <f>IF(ISBLANK(L242),#REF!,L242)</f>
        <v>2.9</v>
      </c>
      <c r="Q242">
        <f t="shared" si="9"/>
        <v>0</v>
      </c>
      <c r="R242">
        <f t="shared" si="10"/>
        <v>1</v>
      </c>
      <c r="S242">
        <f t="shared" si="11"/>
        <v>0</v>
      </c>
    </row>
    <row r="243" spans="1:19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  <c r="O243">
        <f>IF(ISBLANK(J243),#REF!,J243)</f>
        <v>4.04</v>
      </c>
      <c r="P243">
        <f>IF(ISBLANK(L243),#REF!,L243)</f>
        <v>3.7</v>
      </c>
      <c r="Q243">
        <f t="shared" si="9"/>
        <v>0</v>
      </c>
      <c r="R243">
        <f t="shared" si="10"/>
        <v>1</v>
      </c>
      <c r="S243">
        <f t="shared" si="11"/>
        <v>0</v>
      </c>
    </row>
    <row r="244" spans="1:19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  <c r="O244">
        <f>IF(ISBLANK(J244),#REF!,J244)</f>
        <v>1.87</v>
      </c>
      <c r="P244">
        <f>IF(ISBLANK(L244),#REF!,L244)</f>
        <v>3.5</v>
      </c>
      <c r="Q244">
        <f t="shared" si="9"/>
        <v>0</v>
      </c>
      <c r="R244">
        <f t="shared" si="10"/>
        <v>1</v>
      </c>
      <c r="S244">
        <f t="shared" si="11"/>
        <v>0</v>
      </c>
    </row>
    <row r="245" spans="1:19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  <c r="O245">
        <f>IF(ISBLANK(J245),#REF!,J245)</f>
        <v>2.83</v>
      </c>
      <c r="P245">
        <f>IF(ISBLANK(L245),#REF!,L245)</f>
        <v>3</v>
      </c>
      <c r="Q245">
        <f t="shared" si="9"/>
        <v>0</v>
      </c>
      <c r="R245">
        <f t="shared" si="10"/>
        <v>1</v>
      </c>
      <c r="S245">
        <f t="shared" si="11"/>
        <v>0</v>
      </c>
    </row>
    <row r="246" spans="1:19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  <c r="O246">
        <f>IF(ISBLANK(J246),#REF!,J246)</f>
        <v>0.95</v>
      </c>
      <c r="P246">
        <f>IF(ISBLANK(L246),#REF!,L246)</f>
        <v>3.2</v>
      </c>
      <c r="Q246">
        <f t="shared" si="9"/>
        <v>0</v>
      </c>
      <c r="R246">
        <f t="shared" si="10"/>
        <v>0</v>
      </c>
      <c r="S246">
        <f t="shared" si="11"/>
        <v>0</v>
      </c>
    </row>
    <row r="247" spans="1:19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  <c r="O247">
        <f>IF(ISBLANK(J247),#REF!,J247)</f>
        <v>0.8</v>
      </c>
      <c r="P247">
        <f>IF(ISBLANK(L247),#REF!,L247)</f>
        <v>3.4</v>
      </c>
      <c r="Q247">
        <f t="shared" si="9"/>
        <v>0</v>
      </c>
      <c r="R247">
        <f t="shared" si="10"/>
        <v>0</v>
      </c>
      <c r="S247">
        <f t="shared" si="11"/>
        <v>0</v>
      </c>
    </row>
    <row r="248" spans="1:19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  <c r="O248">
        <f>IF(ISBLANK(J248),#REF!,J248)</f>
        <v>0.2</v>
      </c>
      <c r="P248">
        <f>IF(ISBLANK(L248),#REF!,L248)</f>
        <v>3.1</v>
      </c>
      <c r="Q248">
        <f t="shared" si="9"/>
        <v>0</v>
      </c>
      <c r="R248">
        <f t="shared" si="10"/>
        <v>0</v>
      </c>
      <c r="S248">
        <f t="shared" si="11"/>
        <v>0</v>
      </c>
    </row>
    <row r="249" spans="1:19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  <c r="O249">
        <f>IF(ISBLANK(J249),#REF!,J249)</f>
        <v>1.7</v>
      </c>
      <c r="P249">
        <f>IF(ISBLANK(L249),#REF!,L249)</f>
        <v>3.3</v>
      </c>
      <c r="Q249">
        <f t="shared" si="9"/>
        <v>0</v>
      </c>
      <c r="R249">
        <f t="shared" si="10"/>
        <v>0</v>
      </c>
      <c r="S249">
        <f t="shared" si="11"/>
        <v>0</v>
      </c>
    </row>
    <row r="250" spans="1:19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  <c r="O250" t="e">
        <f>IF(ISBLANK(J250),#REF!,J250)</f>
        <v>#REF!</v>
      </c>
      <c r="P250">
        <f>IF(ISBLANK(L250),#REF!,L250)</f>
        <v>3.8</v>
      </c>
      <c r="Q250">
        <f t="shared" si="9"/>
        <v>1</v>
      </c>
      <c r="R250">
        <f t="shared" si="10"/>
        <v>0</v>
      </c>
      <c r="S250">
        <f t="shared" si="11"/>
        <v>0</v>
      </c>
    </row>
    <row r="251" spans="1:19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  <c r="O251">
        <f>IF(ISBLANK(J251),#REF!,J251)</f>
        <v>5.0999999999999996</v>
      </c>
      <c r="P251">
        <f>IF(ISBLANK(L251),#REF!,L251)</f>
        <v>3.6</v>
      </c>
      <c r="Q251">
        <f t="shared" si="9"/>
        <v>1</v>
      </c>
      <c r="R251">
        <f t="shared" si="10"/>
        <v>0</v>
      </c>
      <c r="S251">
        <f t="shared" si="11"/>
        <v>0</v>
      </c>
    </row>
    <row r="252" spans="1:19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  <c r="O252">
        <f>IF(ISBLANK(J252),#REF!,J252)</f>
        <v>0.83</v>
      </c>
      <c r="P252">
        <f>IF(ISBLANK(L252),#REF!,L252)</f>
        <v>4</v>
      </c>
      <c r="Q252">
        <f t="shared" si="9"/>
        <v>1</v>
      </c>
      <c r="R252">
        <f t="shared" si="10"/>
        <v>0</v>
      </c>
      <c r="S252">
        <f t="shared" si="11"/>
        <v>0</v>
      </c>
    </row>
    <row r="253" spans="1:19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  <c r="O253">
        <f>IF(ISBLANK(J253),#REF!,J253)</f>
        <v>1.1399999999999999</v>
      </c>
      <c r="P253">
        <f>IF(ISBLANK(L253),#REF!,L253)</f>
        <v>4</v>
      </c>
      <c r="Q253">
        <f t="shared" si="9"/>
        <v>1</v>
      </c>
      <c r="R253">
        <f t="shared" si="10"/>
        <v>0</v>
      </c>
      <c r="S253">
        <f t="shared" si="11"/>
        <v>0</v>
      </c>
    </row>
    <row r="254" spans="1:19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  <c r="O254">
        <f>IF(ISBLANK(J254),#REF!,J254)</f>
        <v>9.5399999999999991</v>
      </c>
      <c r="P254">
        <f>IF(ISBLANK(L254),#REF!,L254)</f>
        <v>3.7</v>
      </c>
      <c r="Q254">
        <f t="shared" si="9"/>
        <v>0</v>
      </c>
      <c r="R254">
        <f t="shared" si="10"/>
        <v>1</v>
      </c>
      <c r="S254">
        <f t="shared" si="11"/>
        <v>0</v>
      </c>
    </row>
    <row r="255" spans="1:19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  <c r="O255">
        <f>IF(ISBLANK(J255),#REF!,J255)</f>
        <v>5.48</v>
      </c>
      <c r="P255">
        <f>IF(ISBLANK(L255),#REF!,L255)</f>
        <v>3.2</v>
      </c>
      <c r="Q255">
        <f t="shared" si="9"/>
        <v>0</v>
      </c>
      <c r="R255">
        <f t="shared" si="10"/>
        <v>1</v>
      </c>
      <c r="S255">
        <f t="shared" si="11"/>
        <v>0</v>
      </c>
    </row>
    <row r="256" spans="1:19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  <c r="O256">
        <f>IF(ISBLANK(J256),#REF!,J256)</f>
        <v>0.84</v>
      </c>
      <c r="P256">
        <f>IF(ISBLANK(L256),#REF!,L256)</f>
        <v>3.6</v>
      </c>
      <c r="Q256">
        <f t="shared" si="9"/>
        <v>0</v>
      </c>
      <c r="R256">
        <f t="shared" si="10"/>
        <v>1</v>
      </c>
      <c r="S256">
        <f t="shared" si="11"/>
        <v>0</v>
      </c>
    </row>
    <row r="257" spans="1:19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  <c r="O257">
        <f>IF(ISBLANK(J257),#REF!,J257)</f>
        <v>4.1900000000000004</v>
      </c>
      <c r="P257">
        <f>IF(ISBLANK(L257),#REF!,L257)</f>
        <v>4.0999999999999996</v>
      </c>
      <c r="Q257">
        <f t="shared" si="9"/>
        <v>0</v>
      </c>
      <c r="R257">
        <f t="shared" si="10"/>
        <v>1</v>
      </c>
      <c r="S257">
        <f t="shared" si="11"/>
        <v>0</v>
      </c>
    </row>
    <row r="258" spans="1:19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  <c r="O258">
        <f>IF(ISBLANK(J258),#REF!,J258)</f>
        <v>1.26</v>
      </c>
      <c r="P258">
        <f>IF(ISBLANK(L258),#REF!,L258)</f>
        <v>4.3</v>
      </c>
      <c r="Q258">
        <f t="shared" si="9"/>
        <v>0</v>
      </c>
      <c r="R258">
        <f t="shared" si="10"/>
        <v>1</v>
      </c>
      <c r="S258">
        <f t="shared" si="11"/>
        <v>0</v>
      </c>
    </row>
    <row r="259" spans="1:19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  <c r="O259">
        <f>IF(ISBLANK(J259),#REF!,J259)</f>
        <v>2.74</v>
      </c>
      <c r="P259">
        <f>IF(ISBLANK(L259),#REF!,L259)</f>
        <v>4.5999999999999996</v>
      </c>
      <c r="Q259">
        <f t="shared" ref="Q259:Q321" si="12">IF(TRIM($C259)="North",1,0)</f>
        <v>0</v>
      </c>
      <c r="R259">
        <f t="shared" ref="R259:R321" si="13">IF(TRIM($C259)="South",1,0)</f>
        <v>1</v>
      </c>
      <c r="S259">
        <f t="shared" ref="S259:S321" si="14">IF(TRIM($C259)="West",1,0)</f>
        <v>0</v>
      </c>
    </row>
    <row r="260" spans="1:19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  <c r="O260">
        <f>IF(ISBLANK(J260),#REF!,J260)</f>
        <v>3.69</v>
      </c>
      <c r="P260">
        <f>IF(ISBLANK(L260),#REF!,L260)</f>
        <v>4.4000000000000004</v>
      </c>
      <c r="Q260">
        <f t="shared" si="12"/>
        <v>0</v>
      </c>
      <c r="R260">
        <f t="shared" si="13"/>
        <v>1</v>
      </c>
      <c r="S260">
        <f t="shared" si="14"/>
        <v>0</v>
      </c>
    </row>
    <row r="261" spans="1:19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  <c r="O261">
        <f>IF(ISBLANK(J261),#REF!,J261)</f>
        <v>1.82</v>
      </c>
      <c r="P261">
        <f>IF(ISBLANK(L261),#REF!,L261)</f>
        <v>3.6</v>
      </c>
      <c r="Q261">
        <f t="shared" si="12"/>
        <v>0</v>
      </c>
      <c r="R261">
        <f t="shared" si="13"/>
        <v>1</v>
      </c>
      <c r="S261">
        <f t="shared" si="14"/>
        <v>0</v>
      </c>
    </row>
    <row r="262" spans="1:19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  <c r="O262">
        <f>IF(ISBLANK(J262),#REF!,J262)</f>
        <v>6.62</v>
      </c>
      <c r="P262">
        <f>IF(ISBLANK(L262),#REF!,L262)</f>
        <v>4.2</v>
      </c>
      <c r="Q262">
        <f t="shared" si="12"/>
        <v>0</v>
      </c>
      <c r="R262">
        <f t="shared" si="13"/>
        <v>0</v>
      </c>
      <c r="S262">
        <f t="shared" si="14"/>
        <v>1</v>
      </c>
    </row>
    <row r="263" spans="1:19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  <c r="O263" t="e">
        <f>IF(ISBLANK(J263),#REF!,J263)</f>
        <v>#REF!</v>
      </c>
      <c r="P263">
        <f>IF(ISBLANK(L263),#REF!,L263)</f>
        <v>4.2</v>
      </c>
      <c r="Q263">
        <f t="shared" si="12"/>
        <v>0</v>
      </c>
      <c r="R263">
        <f t="shared" si="13"/>
        <v>0</v>
      </c>
      <c r="S263">
        <f t="shared" si="14"/>
        <v>1</v>
      </c>
    </row>
    <row r="264" spans="1:19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  <c r="O264">
        <f>IF(ISBLANK(J264),#REF!,J264)</f>
        <v>6.92</v>
      </c>
      <c r="P264">
        <f>IF(ISBLANK(L264),#REF!,L264)</f>
        <v>4.2</v>
      </c>
      <c r="Q264">
        <f t="shared" si="12"/>
        <v>0</v>
      </c>
      <c r="R264">
        <f t="shared" si="13"/>
        <v>0</v>
      </c>
      <c r="S264">
        <f t="shared" si="14"/>
        <v>1</v>
      </c>
    </row>
    <row r="265" spans="1:19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  <c r="O265">
        <f>IF(ISBLANK(J265),#REF!,J265)</f>
        <v>11.78</v>
      </c>
      <c r="P265">
        <f>IF(ISBLANK(L265),#REF!,L265)</f>
        <v>3.7</v>
      </c>
      <c r="Q265">
        <f t="shared" si="12"/>
        <v>0</v>
      </c>
      <c r="R265">
        <f t="shared" si="13"/>
        <v>0</v>
      </c>
      <c r="S265">
        <f t="shared" si="14"/>
        <v>1</v>
      </c>
    </row>
    <row r="266" spans="1:19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  <c r="O266">
        <f>IF(ISBLANK(J266),#REF!,J266)</f>
        <v>0.5</v>
      </c>
      <c r="P266">
        <f>IF(ISBLANK(L266),#REF!,L266)</f>
        <v>3.5</v>
      </c>
      <c r="Q266">
        <f t="shared" si="12"/>
        <v>0</v>
      </c>
      <c r="R266">
        <f t="shared" si="13"/>
        <v>0</v>
      </c>
      <c r="S266">
        <f t="shared" si="14"/>
        <v>0</v>
      </c>
    </row>
    <row r="267" spans="1:19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  <c r="O267">
        <f>IF(ISBLANK(J267),#REF!,J267)</f>
        <v>0.88</v>
      </c>
      <c r="P267">
        <f>IF(ISBLANK(L267),#REF!,L267)</f>
        <v>3.7</v>
      </c>
      <c r="Q267">
        <f t="shared" si="12"/>
        <v>0</v>
      </c>
      <c r="R267">
        <f t="shared" si="13"/>
        <v>0</v>
      </c>
      <c r="S267">
        <f t="shared" si="14"/>
        <v>0</v>
      </c>
    </row>
    <row r="268" spans="1:19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  <c r="O268">
        <f>IF(ISBLANK(J268),#REF!,J268)</f>
        <v>2.25</v>
      </c>
      <c r="P268">
        <f>IF(ISBLANK(L268),#REF!,L268)</f>
        <v>3.7</v>
      </c>
      <c r="Q268">
        <f t="shared" si="12"/>
        <v>0</v>
      </c>
      <c r="R268">
        <f t="shared" si="13"/>
        <v>0</v>
      </c>
      <c r="S268">
        <f t="shared" si="14"/>
        <v>0</v>
      </c>
    </row>
    <row r="269" spans="1:19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  <c r="O269">
        <f>IF(ISBLANK(J269),#REF!,J269)</f>
        <v>0.28999999999999998</v>
      </c>
      <c r="P269">
        <f>IF(ISBLANK(L269),#REF!,L269)</f>
        <v>3.5</v>
      </c>
      <c r="Q269">
        <f t="shared" si="12"/>
        <v>0</v>
      </c>
      <c r="R269">
        <f t="shared" si="13"/>
        <v>0</v>
      </c>
      <c r="S269">
        <f t="shared" si="14"/>
        <v>0</v>
      </c>
    </row>
    <row r="270" spans="1:19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  <c r="O270">
        <f>IF(ISBLANK(J270),#REF!,J270)</f>
        <v>0.65</v>
      </c>
      <c r="P270">
        <f>IF(ISBLANK(L270),#REF!,L270)</f>
        <v>3.6</v>
      </c>
      <c r="Q270">
        <f t="shared" si="12"/>
        <v>0</v>
      </c>
      <c r="R270">
        <f t="shared" si="13"/>
        <v>0</v>
      </c>
      <c r="S270">
        <f t="shared" si="14"/>
        <v>0</v>
      </c>
    </row>
    <row r="271" spans="1:19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  <c r="O271">
        <f>IF(ISBLANK(J271),#REF!,J271)</f>
        <v>0.2</v>
      </c>
      <c r="P271">
        <f>IF(ISBLANK(L271),#REF!,L271)</f>
        <v>3.5</v>
      </c>
      <c r="Q271">
        <f t="shared" si="12"/>
        <v>0</v>
      </c>
      <c r="R271">
        <f t="shared" si="13"/>
        <v>0</v>
      </c>
      <c r="S271">
        <f t="shared" si="14"/>
        <v>0</v>
      </c>
    </row>
    <row r="272" spans="1:19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  <c r="O272">
        <f>IF(ISBLANK(J272),#REF!,J272)</f>
        <v>3.63</v>
      </c>
      <c r="P272">
        <f>IF(ISBLANK(L272),#REF!,L272)</f>
        <v>3.8</v>
      </c>
      <c r="Q272">
        <f t="shared" si="12"/>
        <v>0</v>
      </c>
      <c r="R272">
        <f t="shared" si="13"/>
        <v>0</v>
      </c>
      <c r="S272">
        <f t="shared" si="14"/>
        <v>0</v>
      </c>
    </row>
    <row r="273" spans="1:19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  <c r="O273">
        <f>IF(ISBLANK(J273),#REF!,J273)</f>
        <v>0.2</v>
      </c>
      <c r="P273">
        <f>IF(ISBLANK(L273),#REF!,L273)</f>
        <v>3.2</v>
      </c>
      <c r="Q273">
        <f t="shared" si="12"/>
        <v>0</v>
      </c>
      <c r="R273">
        <f t="shared" si="13"/>
        <v>0</v>
      </c>
      <c r="S273">
        <f t="shared" si="14"/>
        <v>0</v>
      </c>
    </row>
    <row r="274" spans="1:19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  <c r="O274">
        <f>IF(ISBLANK(J274),#REF!,J274)</f>
        <v>6.23</v>
      </c>
      <c r="P274">
        <f>IF(ISBLANK(L274),#REF!,L274)</f>
        <v>3.3</v>
      </c>
      <c r="Q274">
        <f t="shared" si="12"/>
        <v>0</v>
      </c>
      <c r="R274">
        <f t="shared" si="13"/>
        <v>0</v>
      </c>
      <c r="S274">
        <f t="shared" si="14"/>
        <v>1</v>
      </c>
    </row>
    <row r="275" spans="1:19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  <c r="O275">
        <f>IF(ISBLANK(J275),#REF!,J275)</f>
        <v>1.04</v>
      </c>
      <c r="P275">
        <f>IF(ISBLANK(L275),#REF!,L275)</f>
        <v>3.1</v>
      </c>
      <c r="Q275">
        <f t="shared" si="12"/>
        <v>0</v>
      </c>
      <c r="R275">
        <f t="shared" si="13"/>
        <v>0</v>
      </c>
      <c r="S275">
        <f t="shared" si="14"/>
        <v>1</v>
      </c>
    </row>
    <row r="276" spans="1:19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  <c r="O276">
        <f>IF(ISBLANK(J276),#REF!,J276)</f>
        <v>1.76</v>
      </c>
      <c r="P276">
        <f>IF(ISBLANK(L276),#REF!,L276)</f>
        <v>3.1</v>
      </c>
      <c r="Q276">
        <f t="shared" si="12"/>
        <v>0</v>
      </c>
      <c r="R276">
        <f t="shared" si="13"/>
        <v>0</v>
      </c>
      <c r="S276">
        <f t="shared" si="14"/>
        <v>1</v>
      </c>
    </row>
    <row r="277" spans="1:19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  <c r="O277">
        <f>IF(ISBLANK(J277),#REF!,J277)</f>
        <v>2.86</v>
      </c>
      <c r="P277">
        <f>IF(ISBLANK(L277),#REF!,L277)</f>
        <v>3</v>
      </c>
      <c r="Q277">
        <f t="shared" si="12"/>
        <v>0</v>
      </c>
      <c r="R277">
        <f t="shared" si="13"/>
        <v>0</v>
      </c>
      <c r="S277">
        <f t="shared" si="14"/>
        <v>1</v>
      </c>
    </row>
    <row r="278" spans="1:19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  <c r="O278">
        <f>IF(ISBLANK(J278),#REF!,J278)</f>
        <v>18.14</v>
      </c>
      <c r="P278">
        <f>IF(ISBLANK(L278),#REF!,L278)</f>
        <v>3.4</v>
      </c>
      <c r="Q278">
        <f t="shared" si="12"/>
        <v>0</v>
      </c>
      <c r="R278">
        <f t="shared" si="13"/>
        <v>1</v>
      </c>
      <c r="S278">
        <f t="shared" si="14"/>
        <v>0</v>
      </c>
    </row>
    <row r="279" spans="1:19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  <c r="O279">
        <f>IF(ISBLANK(J279),#REF!,J279)</f>
        <v>3.39</v>
      </c>
      <c r="P279">
        <f>IF(ISBLANK(L279),#REF!,L279)</f>
        <v>4</v>
      </c>
      <c r="Q279">
        <f t="shared" si="12"/>
        <v>0</v>
      </c>
      <c r="R279">
        <f t="shared" si="13"/>
        <v>1</v>
      </c>
      <c r="S279">
        <f t="shared" si="14"/>
        <v>0</v>
      </c>
    </row>
    <row r="280" spans="1:19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  <c r="O280">
        <f>IF(ISBLANK(J280),#REF!,J280)</f>
        <v>1.44</v>
      </c>
      <c r="P280">
        <f>IF(ISBLANK(L280),#REF!,L280)</f>
        <v>3.9</v>
      </c>
      <c r="Q280">
        <f t="shared" si="12"/>
        <v>0</v>
      </c>
      <c r="R280">
        <f t="shared" si="13"/>
        <v>1</v>
      </c>
      <c r="S280">
        <f t="shared" si="14"/>
        <v>0</v>
      </c>
    </row>
    <row r="281" spans="1:19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  <c r="O281">
        <f>IF(ISBLANK(J281),#REF!,J281)</f>
        <v>3.65</v>
      </c>
      <c r="P281">
        <f>IF(ISBLANK(L281),#REF!,L281)</f>
        <v>3.7</v>
      </c>
      <c r="Q281">
        <f t="shared" si="12"/>
        <v>0</v>
      </c>
      <c r="R281">
        <f t="shared" si="13"/>
        <v>1</v>
      </c>
      <c r="S281">
        <f t="shared" si="14"/>
        <v>0</v>
      </c>
    </row>
    <row r="282" spans="1:19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  <c r="O282">
        <f>IF(ISBLANK(J282),#REF!,J282)</f>
        <v>1.23</v>
      </c>
      <c r="P282">
        <f>IF(ISBLANK(L282),#REF!,L282)</f>
        <v>3.8</v>
      </c>
      <c r="Q282">
        <f t="shared" si="12"/>
        <v>0</v>
      </c>
      <c r="R282">
        <f t="shared" si="13"/>
        <v>1</v>
      </c>
      <c r="S282">
        <f t="shared" si="14"/>
        <v>0</v>
      </c>
    </row>
    <row r="283" spans="1:19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  <c r="O283">
        <f>IF(ISBLANK(J283),#REF!,J283)</f>
        <v>3.09</v>
      </c>
      <c r="P283">
        <f>IF(ISBLANK(L283),#REF!,L283)</f>
        <v>4</v>
      </c>
      <c r="Q283">
        <f t="shared" si="12"/>
        <v>0</v>
      </c>
      <c r="R283">
        <f t="shared" si="13"/>
        <v>1</v>
      </c>
      <c r="S283">
        <f t="shared" si="14"/>
        <v>0</v>
      </c>
    </row>
    <row r="284" spans="1:19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  <c r="O284">
        <f>IF(ISBLANK(J284),#REF!,J284)</f>
        <v>3.15</v>
      </c>
      <c r="P284">
        <f>IF(ISBLANK(L284),#REF!,L284)</f>
        <v>4</v>
      </c>
      <c r="Q284">
        <f t="shared" si="12"/>
        <v>0</v>
      </c>
      <c r="R284">
        <f t="shared" si="13"/>
        <v>1</v>
      </c>
      <c r="S284">
        <f t="shared" si="14"/>
        <v>0</v>
      </c>
    </row>
    <row r="285" spans="1:19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  <c r="O285">
        <f>IF(ISBLANK(J285),#REF!,J285)</f>
        <v>6.44</v>
      </c>
      <c r="P285">
        <f>IF(ISBLANK(L285),#REF!,L285)</f>
        <v>4.2</v>
      </c>
      <c r="Q285">
        <f t="shared" si="12"/>
        <v>0</v>
      </c>
      <c r="R285">
        <f t="shared" si="13"/>
        <v>1</v>
      </c>
      <c r="S285">
        <f t="shared" si="14"/>
        <v>0</v>
      </c>
    </row>
    <row r="286" spans="1:19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  <c r="O286">
        <f>IF(ISBLANK(J286),#REF!,J286)</f>
        <v>0.2</v>
      </c>
      <c r="P286">
        <f>IF(ISBLANK(L286),#REF!,L286)</f>
        <v>4.5</v>
      </c>
      <c r="Q286">
        <f t="shared" si="12"/>
        <v>0</v>
      </c>
      <c r="R286">
        <f t="shared" si="13"/>
        <v>0</v>
      </c>
      <c r="S286">
        <f t="shared" si="14"/>
        <v>1</v>
      </c>
    </row>
    <row r="287" spans="1:19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  <c r="O287">
        <f>IF(ISBLANK(J287),#REF!,J287)</f>
        <v>0.59</v>
      </c>
      <c r="P287">
        <f>IF(ISBLANK(L287),#REF!,L287)</f>
        <v>4.5</v>
      </c>
      <c r="Q287">
        <f t="shared" si="12"/>
        <v>0</v>
      </c>
      <c r="R287">
        <f t="shared" si="13"/>
        <v>0</v>
      </c>
      <c r="S287">
        <f t="shared" si="14"/>
        <v>1</v>
      </c>
    </row>
    <row r="288" spans="1:19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  <c r="O288">
        <f>IF(ISBLANK(J288),#REF!,J288)</f>
        <v>0.2</v>
      </c>
      <c r="P288">
        <f>IF(ISBLANK(L288),#REF!,L288)</f>
        <v>4.2</v>
      </c>
      <c r="Q288">
        <f t="shared" si="12"/>
        <v>0</v>
      </c>
      <c r="R288">
        <f t="shared" si="13"/>
        <v>0</v>
      </c>
      <c r="S288">
        <f t="shared" si="14"/>
        <v>1</v>
      </c>
    </row>
    <row r="289" spans="1:19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  <c r="O289">
        <f>IF(ISBLANK(J289),#REF!,J289)</f>
        <v>1.36</v>
      </c>
      <c r="P289">
        <f>IF(ISBLANK(L289),#REF!,L289)</f>
        <v>4.8</v>
      </c>
      <c r="Q289">
        <f t="shared" si="12"/>
        <v>0</v>
      </c>
      <c r="R289">
        <f t="shared" si="13"/>
        <v>0</v>
      </c>
      <c r="S289">
        <f t="shared" si="14"/>
        <v>1</v>
      </c>
    </row>
    <row r="290" spans="1:19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  <c r="O290">
        <f>IF(ISBLANK(J290),#REF!,J290)</f>
        <v>3.34</v>
      </c>
      <c r="P290">
        <f>IF(ISBLANK(L290),#REF!,L290)</f>
        <v>3.7</v>
      </c>
      <c r="Q290">
        <f t="shared" si="12"/>
        <v>0</v>
      </c>
      <c r="R290">
        <f t="shared" si="13"/>
        <v>0</v>
      </c>
      <c r="S290">
        <f t="shared" si="14"/>
        <v>0</v>
      </c>
    </row>
    <row r="291" spans="1:19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  <c r="O291">
        <f>IF(ISBLANK(J291),#REF!,J291)</f>
        <v>0.33</v>
      </c>
      <c r="P291">
        <f>IF(ISBLANK(L291),#REF!,L291)</f>
        <v>4</v>
      </c>
      <c r="Q291">
        <f t="shared" si="12"/>
        <v>0</v>
      </c>
      <c r="R291">
        <f t="shared" si="13"/>
        <v>0</v>
      </c>
      <c r="S291">
        <f t="shared" si="14"/>
        <v>0</v>
      </c>
    </row>
    <row r="292" spans="1:19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  <c r="O292">
        <f>IF(ISBLANK(J292),#REF!,J292)</f>
        <v>3.44</v>
      </c>
      <c r="P292">
        <f>IF(ISBLANK(L292),#REF!,L292)</f>
        <v>4.3</v>
      </c>
      <c r="Q292">
        <f t="shared" si="12"/>
        <v>0</v>
      </c>
      <c r="R292">
        <f t="shared" si="13"/>
        <v>0</v>
      </c>
      <c r="S292">
        <f t="shared" si="14"/>
        <v>0</v>
      </c>
    </row>
    <row r="293" spans="1:19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  <c r="O293">
        <f>IF(ISBLANK(J293),#REF!,J293)</f>
        <v>5.33</v>
      </c>
      <c r="P293">
        <f>IF(ISBLANK(L293),#REF!,L293)</f>
        <v>4.0999999999999996</v>
      </c>
      <c r="Q293">
        <f t="shared" si="12"/>
        <v>0</v>
      </c>
      <c r="R293">
        <f t="shared" si="13"/>
        <v>0</v>
      </c>
      <c r="S293">
        <f t="shared" si="14"/>
        <v>0</v>
      </c>
    </row>
    <row r="294" spans="1:19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  <c r="O294">
        <f>IF(ISBLANK(J294),#REF!,J294)</f>
        <v>6.04</v>
      </c>
      <c r="P294">
        <f>IF(ISBLANK(L294),#REF!,L294)</f>
        <v>4.5</v>
      </c>
      <c r="Q294">
        <f t="shared" si="12"/>
        <v>0</v>
      </c>
      <c r="R294">
        <f t="shared" si="13"/>
        <v>0</v>
      </c>
      <c r="S294">
        <f t="shared" si="14"/>
        <v>1</v>
      </c>
    </row>
    <row r="295" spans="1:19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  <c r="O295">
        <f>IF(ISBLANK(J295),#REF!,J295)</f>
        <v>1.6</v>
      </c>
      <c r="P295">
        <f>IF(ISBLANK(L295),#REF!,L295)</f>
        <v>4.2</v>
      </c>
      <c r="Q295">
        <f t="shared" si="12"/>
        <v>0</v>
      </c>
      <c r="R295">
        <f t="shared" si="13"/>
        <v>0</v>
      </c>
      <c r="S295">
        <f t="shared" si="14"/>
        <v>1</v>
      </c>
    </row>
    <row r="296" spans="1:19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  <c r="O296">
        <f>IF(ISBLANK(J296),#REF!,J296)</f>
        <v>8.9600000000000009</v>
      </c>
      <c r="P296">
        <f>IF(ISBLANK(L296),#REF!,L296)</f>
        <v>4.7</v>
      </c>
      <c r="Q296">
        <f t="shared" si="12"/>
        <v>0</v>
      </c>
      <c r="R296">
        <f t="shared" si="13"/>
        <v>0</v>
      </c>
      <c r="S296">
        <f t="shared" si="14"/>
        <v>1</v>
      </c>
    </row>
    <row r="297" spans="1:19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  <c r="O297">
        <f>IF(ISBLANK(J297),#REF!,J297)</f>
        <v>0.74</v>
      </c>
      <c r="P297">
        <f>IF(ISBLANK(L297),#REF!,L297)</f>
        <v>4.5999999999999996</v>
      </c>
      <c r="Q297">
        <f t="shared" si="12"/>
        <v>0</v>
      </c>
      <c r="R297">
        <f t="shared" si="13"/>
        <v>0</v>
      </c>
      <c r="S297">
        <f t="shared" si="14"/>
        <v>1</v>
      </c>
    </row>
    <row r="298" spans="1:19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  <c r="O298">
        <f>IF(ISBLANK(J298),#REF!,J298)</f>
        <v>6.13</v>
      </c>
      <c r="P298">
        <f>IF(ISBLANK(L298),#REF!,L298)</f>
        <v>3.3</v>
      </c>
      <c r="Q298">
        <f t="shared" si="12"/>
        <v>0</v>
      </c>
      <c r="R298">
        <f t="shared" si="13"/>
        <v>0</v>
      </c>
      <c r="S298">
        <f t="shared" si="14"/>
        <v>1</v>
      </c>
    </row>
    <row r="299" spans="1:19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  <c r="O299">
        <f>IF(ISBLANK(J299),#REF!,J299)</f>
        <v>1.41</v>
      </c>
      <c r="P299">
        <f>IF(ISBLANK(L299),#REF!,L299)</f>
        <v>3.3</v>
      </c>
      <c r="Q299">
        <f t="shared" si="12"/>
        <v>0</v>
      </c>
      <c r="R299">
        <f t="shared" si="13"/>
        <v>0</v>
      </c>
      <c r="S299">
        <f t="shared" si="14"/>
        <v>1</v>
      </c>
    </row>
    <row r="300" spans="1:19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  <c r="O300">
        <f>IF(ISBLANK(J300),#REF!,J300)</f>
        <v>3.75</v>
      </c>
      <c r="P300">
        <f>IF(ISBLANK(L300),#REF!,L300)</f>
        <v>3.1</v>
      </c>
      <c r="Q300">
        <f t="shared" si="12"/>
        <v>0</v>
      </c>
      <c r="R300">
        <f t="shared" si="13"/>
        <v>0</v>
      </c>
      <c r="S300">
        <f t="shared" si="14"/>
        <v>1</v>
      </c>
    </row>
    <row r="301" spans="1:19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  <c r="O301">
        <f>IF(ISBLANK(J301),#REF!,J301)</f>
        <v>15.06</v>
      </c>
      <c r="P301">
        <f>IF(ISBLANK(L301),#REF!,L301)</f>
        <v>3.2</v>
      </c>
      <c r="Q301">
        <f t="shared" si="12"/>
        <v>0</v>
      </c>
      <c r="R301">
        <f t="shared" si="13"/>
        <v>0</v>
      </c>
      <c r="S301">
        <f t="shared" si="14"/>
        <v>1</v>
      </c>
    </row>
    <row r="302" spans="1:19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  <c r="O302">
        <f>IF(ISBLANK(J302),#REF!,J302)</f>
        <v>5.07</v>
      </c>
      <c r="P302">
        <f>IF(ISBLANK(L302),#REF!,L302)</f>
        <v>4.0999999999999996</v>
      </c>
      <c r="Q302">
        <f t="shared" si="12"/>
        <v>1</v>
      </c>
      <c r="R302">
        <f t="shared" si="13"/>
        <v>0</v>
      </c>
      <c r="S302">
        <f t="shared" si="14"/>
        <v>0</v>
      </c>
    </row>
    <row r="303" spans="1:19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  <c r="O303">
        <f>IF(ISBLANK(J303),#REF!,J303)</f>
        <v>3.6</v>
      </c>
      <c r="P303">
        <f>IF(ISBLANK(L303),#REF!,L303)</f>
        <v>3.7</v>
      </c>
      <c r="Q303">
        <f t="shared" si="12"/>
        <v>1</v>
      </c>
      <c r="R303">
        <f t="shared" si="13"/>
        <v>0</v>
      </c>
      <c r="S303">
        <f t="shared" si="14"/>
        <v>0</v>
      </c>
    </row>
    <row r="304" spans="1:19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  <c r="O304">
        <f>IF(ISBLANK(J304),#REF!,J304)</f>
        <v>4.3899999999999997</v>
      </c>
      <c r="P304">
        <f>IF(ISBLANK(L304),#REF!,L304)</f>
        <v>4.7</v>
      </c>
      <c r="Q304">
        <f t="shared" si="12"/>
        <v>1</v>
      </c>
      <c r="R304">
        <f t="shared" si="13"/>
        <v>0</v>
      </c>
      <c r="S304">
        <f t="shared" si="14"/>
        <v>0</v>
      </c>
    </row>
    <row r="305" spans="1:19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  <c r="O305">
        <f>IF(ISBLANK(J305),#REF!,J305)</f>
        <v>2.79</v>
      </c>
      <c r="P305">
        <f>IF(ISBLANK(L305),#REF!,L305)</f>
        <v>4.2</v>
      </c>
      <c r="Q305">
        <f t="shared" si="12"/>
        <v>1</v>
      </c>
      <c r="R305">
        <f t="shared" si="13"/>
        <v>0</v>
      </c>
      <c r="S305">
        <f t="shared" si="14"/>
        <v>0</v>
      </c>
    </row>
    <row r="306" spans="1:19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  <c r="O306">
        <f>IF(ISBLANK(J306),#REF!,J306)</f>
        <v>1.56</v>
      </c>
      <c r="P306">
        <f>IF(ISBLANK(L306),#REF!,L306)</f>
        <v>4</v>
      </c>
      <c r="Q306">
        <f t="shared" si="12"/>
        <v>0</v>
      </c>
      <c r="R306">
        <f t="shared" si="13"/>
        <v>1</v>
      </c>
      <c r="S306">
        <f t="shared" si="14"/>
        <v>0</v>
      </c>
    </row>
    <row r="307" spans="1:19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  <c r="O307">
        <f>IF(ISBLANK(J307),#REF!,J307)</f>
        <v>15.82</v>
      </c>
      <c r="P307">
        <f>IF(ISBLANK(L307),#REF!,L307)</f>
        <v>3.8</v>
      </c>
      <c r="Q307">
        <f t="shared" si="12"/>
        <v>0</v>
      </c>
      <c r="R307">
        <f t="shared" si="13"/>
        <v>1</v>
      </c>
      <c r="S307">
        <f t="shared" si="14"/>
        <v>0</v>
      </c>
    </row>
    <row r="308" spans="1:19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  <c r="O308">
        <f>IF(ISBLANK(J308),#REF!,J308)</f>
        <v>1.17</v>
      </c>
      <c r="P308">
        <f>IF(ISBLANK(L308),#REF!,L308)</f>
        <v>3.7</v>
      </c>
      <c r="Q308">
        <f t="shared" si="12"/>
        <v>0</v>
      </c>
      <c r="R308">
        <f t="shared" si="13"/>
        <v>1</v>
      </c>
      <c r="S308">
        <f t="shared" si="14"/>
        <v>0</v>
      </c>
    </row>
    <row r="309" spans="1:19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  <c r="O309">
        <f>IF(ISBLANK(J309),#REF!,J309)</f>
        <v>3.82</v>
      </c>
      <c r="P309">
        <f>IF(ISBLANK(L309),#REF!,L309)</f>
        <v>3.5</v>
      </c>
      <c r="Q309">
        <f t="shared" si="12"/>
        <v>0</v>
      </c>
      <c r="R309">
        <f t="shared" si="13"/>
        <v>1</v>
      </c>
      <c r="S309">
        <f t="shared" si="14"/>
        <v>0</v>
      </c>
    </row>
    <row r="310" spans="1:19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  <c r="O310">
        <f>IF(ISBLANK(J310),#REF!,J310)</f>
        <v>4.1399999999999997</v>
      </c>
      <c r="P310">
        <f>IF(ISBLANK(L310),#REF!,L310)</f>
        <v>4</v>
      </c>
      <c r="Q310">
        <f t="shared" si="12"/>
        <v>0</v>
      </c>
      <c r="R310">
        <f t="shared" si="13"/>
        <v>1</v>
      </c>
      <c r="S310">
        <f t="shared" si="14"/>
        <v>0</v>
      </c>
    </row>
    <row r="311" spans="1:19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  <c r="O311">
        <f>IF(ISBLANK(J311),#REF!,J311)</f>
        <v>1.1000000000000001</v>
      </c>
      <c r="P311">
        <f>IF(ISBLANK(L311),#REF!,L311)</f>
        <v>4.3</v>
      </c>
      <c r="Q311">
        <f t="shared" si="12"/>
        <v>0</v>
      </c>
      <c r="R311">
        <f t="shared" si="13"/>
        <v>1</v>
      </c>
      <c r="S311">
        <f t="shared" si="14"/>
        <v>0</v>
      </c>
    </row>
    <row r="312" spans="1:19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  <c r="O312">
        <f>IF(ISBLANK(J312),#REF!,J312)</f>
        <v>10.6</v>
      </c>
      <c r="P312">
        <f>IF(ISBLANK(L312),#REF!,L312)</f>
        <v>4.2</v>
      </c>
      <c r="Q312">
        <f t="shared" si="12"/>
        <v>0</v>
      </c>
      <c r="R312">
        <f t="shared" si="13"/>
        <v>1</v>
      </c>
      <c r="S312">
        <f t="shared" si="14"/>
        <v>0</v>
      </c>
    </row>
    <row r="313" spans="1:19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  <c r="O313">
        <f>IF(ISBLANK(J313),#REF!,J313)</f>
        <v>0.9</v>
      </c>
      <c r="P313" t="e">
        <f>IF(ISBLANK(L313),#REF!,L313)</f>
        <v>#REF!</v>
      </c>
      <c r="Q313">
        <f t="shared" si="12"/>
        <v>0</v>
      </c>
      <c r="R313">
        <f t="shared" si="13"/>
        <v>1</v>
      </c>
      <c r="S313">
        <f t="shared" si="14"/>
        <v>0</v>
      </c>
    </row>
    <row r="314" spans="1:19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  <c r="O314">
        <f>IF(ISBLANK(J314),#REF!,J314)</f>
        <v>0.2</v>
      </c>
      <c r="P314">
        <f>IF(ISBLANK(L314),#REF!,L314)</f>
        <v>3.4</v>
      </c>
      <c r="Q314">
        <f t="shared" si="12"/>
        <v>1</v>
      </c>
      <c r="R314">
        <f t="shared" si="13"/>
        <v>0</v>
      </c>
      <c r="S314">
        <f t="shared" si="14"/>
        <v>0</v>
      </c>
    </row>
    <row r="315" spans="1:19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  <c r="O315">
        <f>IF(ISBLANK(J315),#REF!,J315)</f>
        <v>4.67</v>
      </c>
      <c r="P315" t="e">
        <f>IF(ISBLANK(L315),#REF!,L315)</f>
        <v>#REF!</v>
      </c>
      <c r="Q315">
        <f t="shared" si="12"/>
        <v>1</v>
      </c>
      <c r="R315">
        <f t="shared" si="13"/>
        <v>0</v>
      </c>
      <c r="S315">
        <f t="shared" si="14"/>
        <v>0</v>
      </c>
    </row>
    <row r="316" spans="1:19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  <c r="O316">
        <f>IF(ISBLANK(J316),#REF!,J316)</f>
        <v>4.38</v>
      </c>
      <c r="P316">
        <f>IF(ISBLANK(L316),#REF!,L316)</f>
        <v>3.9</v>
      </c>
      <c r="Q316">
        <f t="shared" si="12"/>
        <v>1</v>
      </c>
      <c r="R316">
        <f t="shared" si="13"/>
        <v>0</v>
      </c>
      <c r="S316">
        <f t="shared" si="14"/>
        <v>0</v>
      </c>
    </row>
    <row r="317" spans="1:19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  <c r="O317">
        <f>IF(ISBLANK(J317),#REF!,J317)</f>
        <v>4.4800000000000004</v>
      </c>
      <c r="P317">
        <f>IF(ISBLANK(L317),#REF!,L317)</f>
        <v>4.2</v>
      </c>
      <c r="Q317">
        <f t="shared" si="12"/>
        <v>1</v>
      </c>
      <c r="R317">
        <f t="shared" si="13"/>
        <v>0</v>
      </c>
      <c r="S317">
        <f t="shared" si="14"/>
        <v>0</v>
      </c>
    </row>
    <row r="318" spans="1:19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  <c r="O318">
        <f>IF(ISBLANK(J318),#REF!,J318)</f>
        <v>1.02</v>
      </c>
      <c r="P318">
        <f>IF(ISBLANK(L318),#REF!,L318)</f>
        <v>4</v>
      </c>
      <c r="Q318">
        <f t="shared" si="12"/>
        <v>0</v>
      </c>
      <c r="R318">
        <f t="shared" si="13"/>
        <v>0</v>
      </c>
      <c r="S318">
        <f t="shared" si="14"/>
        <v>0</v>
      </c>
    </row>
    <row r="319" spans="1:19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  <c r="O319">
        <f>IF(ISBLANK(J319),#REF!,J319)</f>
        <v>0.2</v>
      </c>
      <c r="P319">
        <f>IF(ISBLANK(L319),#REF!,L319)</f>
        <v>3.8</v>
      </c>
      <c r="Q319">
        <f t="shared" si="12"/>
        <v>0</v>
      </c>
      <c r="R319">
        <f t="shared" si="13"/>
        <v>0</v>
      </c>
      <c r="S319">
        <f t="shared" si="14"/>
        <v>0</v>
      </c>
    </row>
    <row r="320" spans="1:19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  <c r="O320">
        <f>IF(ISBLANK(J320),#REF!,J320)</f>
        <v>4.8899999999999997</v>
      </c>
      <c r="P320">
        <f>IF(ISBLANK(L320),#REF!,L320)</f>
        <v>4.2</v>
      </c>
      <c r="Q320">
        <f t="shared" si="12"/>
        <v>0</v>
      </c>
      <c r="R320">
        <f t="shared" si="13"/>
        <v>0</v>
      </c>
      <c r="S320">
        <f t="shared" si="14"/>
        <v>0</v>
      </c>
    </row>
    <row r="321" spans="1:19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  <c r="O321">
        <f>IF(ISBLANK(J321),#REF!,J321)</f>
        <v>11.82</v>
      </c>
      <c r="P321">
        <f>IF(ISBLANK(L321),#REF!,L321)</f>
        <v>4.0999999999999996</v>
      </c>
      <c r="Q321">
        <f t="shared" si="12"/>
        <v>0</v>
      </c>
      <c r="R321">
        <f t="shared" si="13"/>
        <v>0</v>
      </c>
      <c r="S321">
        <f t="shared" si="14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DC4E-E942-4A74-8DD4-38A06F62E753}">
  <dimension ref="A1:S321"/>
  <sheetViews>
    <sheetView zoomScaleNormal="100" workbookViewId="0">
      <selection activeCell="E2" sqref="E2"/>
    </sheetView>
  </sheetViews>
  <sheetFormatPr defaultRowHeight="14.5"/>
  <cols>
    <col min="1" max="1" width="15.54296875" customWidth="1"/>
    <col min="4" max="4" width="18.1796875" customWidth="1"/>
    <col min="5" max="5" width="21.453125" customWidth="1"/>
    <col min="6" max="6" width="14.26953125" customWidth="1"/>
    <col min="7" max="7" width="15.90625" customWidth="1"/>
    <col min="8" max="8" width="11.54296875" customWidth="1"/>
    <col min="9" max="9" width="15.08984375" customWidth="1"/>
    <col min="10" max="10" width="13.08984375" customWidth="1"/>
    <col min="11" max="11" width="10.81640625" customWidth="1"/>
    <col min="12" max="12" width="7.1796875" customWidth="1"/>
    <col min="13" max="13" width="15" customWidth="1"/>
    <col min="14" max="14" width="14.26953125" customWidth="1"/>
    <col min="15" max="15" width="18.7265625" customWidth="1"/>
    <col min="16" max="16" width="16.7265625" customWidth="1"/>
    <col min="17" max="17" width="11.36328125" customWidth="1"/>
    <col min="18" max="18" width="14.1796875" customWidth="1"/>
    <col min="19" max="19" width="11.6328125" customWidth="1"/>
  </cols>
  <sheetData>
    <row r="1" spans="1:19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102</v>
      </c>
      <c r="P1" s="3" t="s">
        <v>103</v>
      </c>
      <c r="Q1" s="1" t="s">
        <v>104</v>
      </c>
      <c r="R1" s="1"/>
      <c r="S1" s="1"/>
    </row>
    <row r="2" spans="1:19">
      <c r="A2" t="s">
        <v>49</v>
      </c>
      <c r="B2" s="2">
        <v>45748</v>
      </c>
      <c r="C2" t="s">
        <v>15</v>
      </c>
      <c r="D2" t="s">
        <v>28</v>
      </c>
      <c r="E2">
        <v>52758.01</v>
      </c>
      <c r="F2">
        <v>4063</v>
      </c>
      <c r="G2">
        <v>5.7000000000000002E-2</v>
      </c>
      <c r="H2">
        <v>12</v>
      </c>
      <c r="I2">
        <v>91.7</v>
      </c>
      <c r="J2">
        <v>0.92</v>
      </c>
      <c r="K2">
        <v>0</v>
      </c>
      <c r="L2">
        <v>3.5</v>
      </c>
      <c r="M2">
        <v>713611.16</v>
      </c>
      <c r="N2">
        <v>129717.18</v>
      </c>
      <c r="O2">
        <f t="shared" ref="O2:O65" si="0">IF(D2="High Street",1,0)</f>
        <v>0</v>
      </c>
      <c r="P2">
        <f>IF(D2="Mall",1,0)</f>
        <v>1</v>
      </c>
      <c r="Q2">
        <f t="shared" ref="Q2:Q65" si="1">IF(D2="Airport",1,0)</f>
        <v>0</v>
      </c>
    </row>
    <row r="3" spans="1:19">
      <c r="A3" t="s">
        <v>47</v>
      </c>
      <c r="B3" s="2">
        <v>45748</v>
      </c>
      <c r="C3" t="s">
        <v>15</v>
      </c>
      <c r="D3" t="s">
        <v>28</v>
      </c>
      <c r="E3">
        <v>32266.639999999999</v>
      </c>
      <c r="F3">
        <v>2414</v>
      </c>
      <c r="G3">
        <v>0.08</v>
      </c>
      <c r="H3">
        <v>7</v>
      </c>
      <c r="I3">
        <v>92.1</v>
      </c>
      <c r="J3">
        <v>1.48</v>
      </c>
      <c r="K3">
        <v>0</v>
      </c>
      <c r="L3">
        <v>5</v>
      </c>
      <c r="M3">
        <v>625514.04</v>
      </c>
      <c r="N3">
        <v>120685.08</v>
      </c>
      <c r="O3">
        <f t="shared" si="0"/>
        <v>0</v>
      </c>
      <c r="P3">
        <f t="shared" ref="P3:P66" si="2">IF(D3="Mall",1,0)</f>
        <v>1</v>
      </c>
      <c r="Q3">
        <f t="shared" si="1"/>
        <v>0</v>
      </c>
    </row>
    <row r="4" spans="1:19">
      <c r="A4" t="s">
        <v>51</v>
      </c>
      <c r="B4" s="2">
        <v>45689</v>
      </c>
      <c r="C4" t="s">
        <v>27</v>
      </c>
      <c r="D4" t="s">
        <v>16</v>
      </c>
      <c r="E4">
        <v>57360.01</v>
      </c>
      <c r="F4">
        <v>8434</v>
      </c>
      <c r="G4">
        <v>0.151</v>
      </c>
      <c r="H4">
        <v>19</v>
      </c>
      <c r="I4">
        <v>84.1</v>
      </c>
      <c r="J4">
        <v>1.56</v>
      </c>
      <c r="K4">
        <v>0</v>
      </c>
      <c r="L4">
        <v>4.7</v>
      </c>
      <c r="M4">
        <v>820519.04</v>
      </c>
      <c r="N4">
        <v>99035.88</v>
      </c>
      <c r="O4">
        <f t="shared" si="0"/>
        <v>0</v>
      </c>
      <c r="P4">
        <f t="shared" si="2"/>
        <v>0</v>
      </c>
      <c r="Q4">
        <f t="shared" si="1"/>
        <v>0</v>
      </c>
    </row>
    <row r="5" spans="1:19">
      <c r="A5" t="s">
        <v>46</v>
      </c>
      <c r="B5" s="2">
        <v>45689</v>
      </c>
      <c r="C5" t="s">
        <v>27</v>
      </c>
      <c r="D5" t="s">
        <v>28</v>
      </c>
      <c r="E5">
        <v>78839.39</v>
      </c>
      <c r="F5">
        <v>5150</v>
      </c>
      <c r="G5">
        <v>0.17100000000000001</v>
      </c>
      <c r="H5">
        <v>13</v>
      </c>
      <c r="I5">
        <v>85.8</v>
      </c>
      <c r="J5">
        <v>7.57</v>
      </c>
      <c r="K5">
        <v>0</v>
      </c>
      <c r="L5">
        <v>4.3</v>
      </c>
      <c r="M5">
        <v>735509.4</v>
      </c>
      <c r="N5">
        <v>83895.96</v>
      </c>
      <c r="O5">
        <f t="shared" si="0"/>
        <v>0</v>
      </c>
      <c r="P5">
        <f t="shared" si="2"/>
        <v>1</v>
      </c>
      <c r="Q5">
        <f t="shared" si="1"/>
        <v>0</v>
      </c>
    </row>
    <row r="6" spans="1:19">
      <c r="A6" t="s">
        <v>42</v>
      </c>
      <c r="B6" s="2">
        <v>45717</v>
      </c>
      <c r="C6" t="s">
        <v>27</v>
      </c>
      <c r="D6" t="s">
        <v>28</v>
      </c>
      <c r="E6">
        <v>72731.14</v>
      </c>
      <c r="F6">
        <v>4644</v>
      </c>
      <c r="G6">
        <v>8.4000000000000005E-2</v>
      </c>
      <c r="H6">
        <v>15</v>
      </c>
      <c r="I6">
        <v>87.1</v>
      </c>
      <c r="J6">
        <v>2.66</v>
      </c>
      <c r="K6">
        <v>0</v>
      </c>
      <c r="L6">
        <v>4.5999999999999996</v>
      </c>
      <c r="M6">
        <v>727241.86</v>
      </c>
      <c r="N6">
        <v>155810.29999999999</v>
      </c>
      <c r="O6">
        <f t="shared" si="0"/>
        <v>0</v>
      </c>
      <c r="P6">
        <f t="shared" si="2"/>
        <v>1</v>
      </c>
      <c r="Q6">
        <f t="shared" si="1"/>
        <v>0</v>
      </c>
    </row>
    <row r="7" spans="1:19">
      <c r="A7" t="s">
        <v>86</v>
      </c>
      <c r="B7" s="2">
        <v>45658</v>
      </c>
      <c r="C7" t="s">
        <v>24</v>
      </c>
      <c r="D7" t="s">
        <v>28</v>
      </c>
      <c r="E7">
        <v>65272.58</v>
      </c>
      <c r="F7">
        <v>8165</v>
      </c>
      <c r="G7">
        <v>5.0999999999999997E-2</v>
      </c>
      <c r="H7">
        <v>19</v>
      </c>
      <c r="I7">
        <v>87.8</v>
      </c>
      <c r="J7">
        <v>1.26</v>
      </c>
      <c r="K7">
        <v>1</v>
      </c>
      <c r="L7">
        <v>4.3</v>
      </c>
      <c r="M7">
        <v>840108.12</v>
      </c>
      <c r="N7">
        <v>126587.01</v>
      </c>
      <c r="O7">
        <f t="shared" si="0"/>
        <v>0</v>
      </c>
      <c r="P7">
        <f t="shared" si="2"/>
        <v>1</v>
      </c>
      <c r="Q7">
        <f t="shared" si="1"/>
        <v>0</v>
      </c>
    </row>
    <row r="8" spans="1:19">
      <c r="A8" t="s">
        <v>72</v>
      </c>
      <c r="B8" s="2">
        <v>45689</v>
      </c>
      <c r="C8" t="s">
        <v>15</v>
      </c>
      <c r="D8" t="s">
        <v>21</v>
      </c>
      <c r="E8">
        <v>78111.97</v>
      </c>
      <c r="F8">
        <v>6389</v>
      </c>
      <c r="G8">
        <v>0.15</v>
      </c>
      <c r="H8">
        <v>13</v>
      </c>
      <c r="I8">
        <v>83.9</v>
      </c>
      <c r="J8">
        <v>3.05</v>
      </c>
      <c r="K8">
        <v>0</v>
      </c>
      <c r="L8">
        <v>4.8</v>
      </c>
      <c r="M8">
        <v>787715.51</v>
      </c>
      <c r="N8">
        <v>128969.62</v>
      </c>
      <c r="O8">
        <f t="shared" si="0"/>
        <v>0</v>
      </c>
      <c r="P8">
        <f t="shared" si="2"/>
        <v>0</v>
      </c>
      <c r="Q8">
        <f t="shared" si="1"/>
        <v>1</v>
      </c>
    </row>
    <row r="9" spans="1:19">
      <c r="A9" t="s">
        <v>61</v>
      </c>
      <c r="B9" s="2">
        <v>45717</v>
      </c>
      <c r="C9" t="s">
        <v>20</v>
      </c>
      <c r="D9" t="s">
        <v>28</v>
      </c>
      <c r="E9">
        <v>56918.16</v>
      </c>
      <c r="F9">
        <v>7015</v>
      </c>
      <c r="G9">
        <v>0.158</v>
      </c>
      <c r="H9">
        <v>18</v>
      </c>
      <c r="I9">
        <v>74.2</v>
      </c>
      <c r="J9">
        <v>0.2</v>
      </c>
      <c r="K9">
        <v>0</v>
      </c>
      <c r="L9">
        <v>3.4</v>
      </c>
      <c r="M9">
        <v>724216.07</v>
      </c>
      <c r="N9">
        <v>100627.56</v>
      </c>
      <c r="O9">
        <f t="shared" si="0"/>
        <v>0</v>
      </c>
      <c r="P9">
        <f t="shared" si="2"/>
        <v>1</v>
      </c>
      <c r="Q9">
        <f t="shared" si="1"/>
        <v>0</v>
      </c>
    </row>
    <row r="10" spans="1:19">
      <c r="A10" t="s">
        <v>71</v>
      </c>
      <c r="B10" s="2">
        <v>45748</v>
      </c>
      <c r="C10" t="s">
        <v>20</v>
      </c>
      <c r="D10" t="s">
        <v>16</v>
      </c>
      <c r="E10">
        <v>61391.8</v>
      </c>
      <c r="F10">
        <v>5575</v>
      </c>
      <c r="G10">
        <v>0.189</v>
      </c>
      <c r="H10">
        <v>18</v>
      </c>
      <c r="I10">
        <v>90</v>
      </c>
      <c r="J10">
        <v>1.8</v>
      </c>
      <c r="K10">
        <v>0</v>
      </c>
      <c r="L10">
        <v>4.8</v>
      </c>
      <c r="M10">
        <v>735786.64</v>
      </c>
      <c r="N10">
        <v>126540.66</v>
      </c>
      <c r="O10">
        <f t="shared" si="0"/>
        <v>0</v>
      </c>
      <c r="P10">
        <f t="shared" si="2"/>
        <v>0</v>
      </c>
      <c r="Q10">
        <f t="shared" si="1"/>
        <v>0</v>
      </c>
    </row>
    <row r="11" spans="1:19">
      <c r="A11" t="s">
        <v>45</v>
      </c>
      <c r="B11" s="2">
        <v>45717</v>
      </c>
      <c r="C11" t="s">
        <v>27</v>
      </c>
      <c r="D11" t="s">
        <v>16</v>
      </c>
      <c r="E11">
        <v>86421.88</v>
      </c>
      <c r="F11">
        <v>7970</v>
      </c>
      <c r="G11">
        <v>7.2999999999999995E-2</v>
      </c>
      <c r="H11">
        <v>17</v>
      </c>
      <c r="I11">
        <v>91.3</v>
      </c>
      <c r="J11">
        <v>0.8</v>
      </c>
      <c r="K11">
        <v>0</v>
      </c>
      <c r="L11">
        <v>5</v>
      </c>
      <c r="M11">
        <v>838250.32</v>
      </c>
      <c r="N11">
        <v>122939.34</v>
      </c>
      <c r="O11">
        <f t="shared" si="0"/>
        <v>0</v>
      </c>
      <c r="P11">
        <f t="shared" si="2"/>
        <v>0</v>
      </c>
      <c r="Q11">
        <f t="shared" si="1"/>
        <v>0</v>
      </c>
    </row>
    <row r="12" spans="1:19">
      <c r="A12" t="s">
        <v>42</v>
      </c>
      <c r="B12" s="2">
        <v>45689</v>
      </c>
      <c r="C12" t="s">
        <v>27</v>
      </c>
      <c r="D12" t="s">
        <v>28</v>
      </c>
      <c r="E12">
        <v>60628.38</v>
      </c>
      <c r="F12">
        <v>4451</v>
      </c>
      <c r="G12">
        <v>9.5000000000000001E-2</v>
      </c>
      <c r="H12">
        <v>10</v>
      </c>
      <c r="I12">
        <v>89.6</v>
      </c>
      <c r="J12">
        <v>3.17</v>
      </c>
      <c r="K12">
        <v>0</v>
      </c>
      <c r="L12">
        <v>4.5999999999999996</v>
      </c>
      <c r="M12">
        <v>682208.01</v>
      </c>
      <c r="N12">
        <v>110318.84</v>
      </c>
      <c r="O12">
        <f t="shared" si="0"/>
        <v>0</v>
      </c>
      <c r="P12">
        <f t="shared" si="2"/>
        <v>1</v>
      </c>
      <c r="Q12">
        <f t="shared" si="1"/>
        <v>0</v>
      </c>
    </row>
    <row r="13" spans="1:19">
      <c r="A13" t="s">
        <v>97</v>
      </c>
      <c r="B13" s="2">
        <v>45748</v>
      </c>
      <c r="C13" t="s">
        <v>20</v>
      </c>
      <c r="D13" t="s">
        <v>28</v>
      </c>
      <c r="E13">
        <v>31997.25</v>
      </c>
      <c r="F13">
        <v>8183</v>
      </c>
      <c r="G13">
        <v>0.19800000000000001</v>
      </c>
      <c r="H13">
        <v>18</v>
      </c>
      <c r="I13">
        <v>93</v>
      </c>
      <c r="J13">
        <v>2.79</v>
      </c>
      <c r="K13">
        <v>0</v>
      </c>
      <c r="L13">
        <v>4.2</v>
      </c>
      <c r="M13">
        <v>780580.95</v>
      </c>
      <c r="N13">
        <v>138144.46</v>
      </c>
      <c r="O13">
        <f t="shared" si="0"/>
        <v>0</v>
      </c>
      <c r="P13">
        <f t="shared" si="2"/>
        <v>1</v>
      </c>
      <c r="Q13">
        <f t="shared" si="1"/>
        <v>0</v>
      </c>
    </row>
    <row r="14" spans="1:19">
      <c r="A14" t="s">
        <v>80</v>
      </c>
      <c r="B14" s="2">
        <v>45689</v>
      </c>
      <c r="C14" t="s">
        <v>27</v>
      </c>
      <c r="D14" t="s">
        <v>16</v>
      </c>
      <c r="E14">
        <v>61650.79</v>
      </c>
      <c r="F14">
        <v>5321</v>
      </c>
      <c r="G14">
        <v>0.126</v>
      </c>
      <c r="H14">
        <v>17</v>
      </c>
      <c r="I14">
        <v>89.2</v>
      </c>
      <c r="J14">
        <v>2.13</v>
      </c>
      <c r="K14">
        <v>0</v>
      </c>
      <c r="L14">
        <v>4</v>
      </c>
      <c r="M14">
        <v>723305.11</v>
      </c>
      <c r="N14">
        <v>128468.7</v>
      </c>
      <c r="O14">
        <f t="shared" si="0"/>
        <v>0</v>
      </c>
      <c r="P14">
        <f t="shared" si="2"/>
        <v>0</v>
      </c>
      <c r="Q14">
        <f t="shared" si="1"/>
        <v>0</v>
      </c>
    </row>
    <row r="15" spans="1:19">
      <c r="A15" t="s">
        <v>94</v>
      </c>
      <c r="B15" s="2">
        <v>45717</v>
      </c>
      <c r="C15" t="s">
        <v>15</v>
      </c>
      <c r="D15" t="s">
        <v>16</v>
      </c>
      <c r="E15">
        <v>56737.3</v>
      </c>
      <c r="F15">
        <v>8300</v>
      </c>
      <c r="G15">
        <v>3.2000000000000001E-2</v>
      </c>
      <c r="H15">
        <v>21</v>
      </c>
      <c r="I15">
        <v>83.2</v>
      </c>
      <c r="J15">
        <v>3.44</v>
      </c>
      <c r="K15">
        <v>1</v>
      </c>
      <c r="L15">
        <v>4.3</v>
      </c>
      <c r="M15">
        <v>813316.71</v>
      </c>
      <c r="N15">
        <v>110077.42</v>
      </c>
      <c r="O15">
        <f t="shared" si="0"/>
        <v>0</v>
      </c>
      <c r="P15">
        <f t="shared" si="2"/>
        <v>0</v>
      </c>
      <c r="Q15">
        <f t="shared" si="1"/>
        <v>0</v>
      </c>
    </row>
    <row r="16" spans="1:19">
      <c r="A16" t="s">
        <v>96</v>
      </c>
      <c r="B16" s="2">
        <v>45689</v>
      </c>
      <c r="C16" t="s">
        <v>27</v>
      </c>
      <c r="D16" t="s">
        <v>18</v>
      </c>
      <c r="E16">
        <v>55477.61</v>
      </c>
      <c r="F16">
        <v>5903</v>
      </c>
      <c r="G16">
        <v>0.10199999999999999</v>
      </c>
      <c r="H16">
        <v>14</v>
      </c>
      <c r="I16">
        <v>96.2</v>
      </c>
      <c r="J16">
        <v>1.41</v>
      </c>
      <c r="K16">
        <v>0</v>
      </c>
      <c r="L16">
        <v>3.3</v>
      </c>
      <c r="M16">
        <v>763162.45</v>
      </c>
      <c r="N16">
        <v>162524.04999999999</v>
      </c>
      <c r="O16">
        <f t="shared" si="0"/>
        <v>1</v>
      </c>
      <c r="P16">
        <f t="shared" si="2"/>
        <v>0</v>
      </c>
      <c r="Q16">
        <f t="shared" si="1"/>
        <v>0</v>
      </c>
    </row>
    <row r="17" spans="1:17">
      <c r="A17" t="s">
        <v>48</v>
      </c>
      <c r="B17" s="2">
        <v>45717</v>
      </c>
      <c r="C17" t="s">
        <v>27</v>
      </c>
      <c r="D17" t="s">
        <v>18</v>
      </c>
      <c r="E17">
        <v>64294.23</v>
      </c>
      <c r="F17">
        <v>6992</v>
      </c>
      <c r="G17">
        <v>0.13300000000000001</v>
      </c>
      <c r="H17">
        <v>14</v>
      </c>
      <c r="I17">
        <v>94.1</v>
      </c>
      <c r="J17">
        <v>0.25</v>
      </c>
      <c r="K17">
        <v>0</v>
      </c>
      <c r="L17">
        <v>3</v>
      </c>
      <c r="M17">
        <v>795153.84</v>
      </c>
      <c r="N17">
        <v>143194.21</v>
      </c>
      <c r="O17">
        <f t="shared" si="0"/>
        <v>1</v>
      </c>
      <c r="P17">
        <f t="shared" si="2"/>
        <v>0</v>
      </c>
      <c r="Q17">
        <f t="shared" si="1"/>
        <v>0</v>
      </c>
    </row>
    <row r="18" spans="1:17">
      <c r="A18" t="s">
        <v>90</v>
      </c>
      <c r="B18" s="2">
        <v>45748</v>
      </c>
      <c r="C18" t="s">
        <v>27</v>
      </c>
      <c r="D18" t="s">
        <v>18</v>
      </c>
      <c r="E18">
        <v>38297.58</v>
      </c>
      <c r="F18">
        <v>5893</v>
      </c>
      <c r="G18">
        <v>0.247</v>
      </c>
      <c r="H18">
        <v>18</v>
      </c>
      <c r="I18">
        <v>77.599999999999994</v>
      </c>
      <c r="J18">
        <v>2.86</v>
      </c>
      <c r="K18">
        <v>0</v>
      </c>
      <c r="L18">
        <v>3</v>
      </c>
      <c r="M18">
        <v>686737.87</v>
      </c>
      <c r="N18">
        <v>83839.67</v>
      </c>
      <c r="O18">
        <f t="shared" si="0"/>
        <v>1</v>
      </c>
      <c r="P18">
        <f t="shared" si="2"/>
        <v>0</v>
      </c>
      <c r="Q18">
        <f t="shared" si="1"/>
        <v>0</v>
      </c>
    </row>
    <row r="19" spans="1:17">
      <c r="A19" t="s">
        <v>53</v>
      </c>
      <c r="B19" s="2">
        <v>45658</v>
      </c>
      <c r="C19" t="s">
        <v>24</v>
      </c>
      <c r="D19" t="s">
        <v>18</v>
      </c>
      <c r="E19">
        <v>61541.21</v>
      </c>
      <c r="F19">
        <v>10396</v>
      </c>
      <c r="G19">
        <v>0.123</v>
      </c>
      <c r="H19">
        <v>25</v>
      </c>
      <c r="I19">
        <v>88.1</v>
      </c>
      <c r="J19">
        <v>2.34</v>
      </c>
      <c r="K19">
        <v>1</v>
      </c>
      <c r="L19">
        <v>4.8</v>
      </c>
      <c r="M19">
        <v>914544.17</v>
      </c>
      <c r="N19">
        <v>79831.73</v>
      </c>
      <c r="O19">
        <f t="shared" si="0"/>
        <v>1</v>
      </c>
      <c r="P19">
        <f t="shared" si="2"/>
        <v>0</v>
      </c>
      <c r="Q19">
        <f t="shared" si="1"/>
        <v>0</v>
      </c>
    </row>
    <row r="20" spans="1:17">
      <c r="A20" t="s">
        <v>61</v>
      </c>
      <c r="B20" s="2">
        <v>45748</v>
      </c>
      <c r="C20" t="s">
        <v>20</v>
      </c>
      <c r="D20" t="s">
        <v>28</v>
      </c>
      <c r="E20">
        <v>23254.57</v>
      </c>
      <c r="F20">
        <v>3847</v>
      </c>
      <c r="G20">
        <v>0.159</v>
      </c>
      <c r="H20">
        <v>12</v>
      </c>
      <c r="I20">
        <v>93</v>
      </c>
      <c r="J20">
        <v>5.46</v>
      </c>
      <c r="K20">
        <v>0</v>
      </c>
      <c r="L20">
        <v>3.3</v>
      </c>
      <c r="M20">
        <v>620973.03</v>
      </c>
      <c r="N20">
        <v>72303.850000000006</v>
      </c>
      <c r="O20">
        <f t="shared" si="0"/>
        <v>0</v>
      </c>
      <c r="P20">
        <f t="shared" si="2"/>
        <v>1</v>
      </c>
      <c r="Q20">
        <f t="shared" si="1"/>
        <v>0</v>
      </c>
    </row>
    <row r="21" spans="1:17">
      <c r="A21" t="s">
        <v>85</v>
      </c>
      <c r="B21" s="2">
        <v>45689</v>
      </c>
      <c r="C21" t="s">
        <v>24</v>
      </c>
      <c r="D21" t="s">
        <v>21</v>
      </c>
      <c r="E21">
        <v>63582.11</v>
      </c>
      <c r="F21">
        <v>6856</v>
      </c>
      <c r="G21">
        <v>7.3999999999999996E-2</v>
      </c>
      <c r="H21">
        <v>17</v>
      </c>
      <c r="I21">
        <v>89.5</v>
      </c>
      <c r="J21">
        <v>5.48</v>
      </c>
      <c r="K21">
        <v>0</v>
      </c>
      <c r="L21">
        <v>3.2</v>
      </c>
      <c r="M21">
        <v>799046.94</v>
      </c>
      <c r="N21">
        <v>144553.64000000001</v>
      </c>
      <c r="O21">
        <f t="shared" si="0"/>
        <v>0</v>
      </c>
      <c r="P21">
        <f t="shared" si="2"/>
        <v>0</v>
      </c>
      <c r="Q21">
        <f t="shared" si="1"/>
        <v>1</v>
      </c>
    </row>
    <row r="22" spans="1:17">
      <c r="A22" t="s">
        <v>73</v>
      </c>
      <c r="B22" s="2">
        <v>45689</v>
      </c>
      <c r="C22" t="s">
        <v>15</v>
      </c>
      <c r="D22" t="s">
        <v>28</v>
      </c>
      <c r="E22">
        <v>54300.87</v>
      </c>
      <c r="F22">
        <v>7875</v>
      </c>
      <c r="G22">
        <v>0.107</v>
      </c>
      <c r="H22">
        <v>19</v>
      </c>
      <c r="I22">
        <v>94.1</v>
      </c>
      <c r="J22">
        <v>0.95</v>
      </c>
      <c r="K22">
        <v>0</v>
      </c>
      <c r="L22">
        <v>3.7</v>
      </c>
      <c r="M22">
        <v>795464.47</v>
      </c>
      <c r="N22">
        <v>161150.51999999999</v>
      </c>
      <c r="O22">
        <f t="shared" si="0"/>
        <v>0</v>
      </c>
      <c r="P22">
        <f t="shared" si="2"/>
        <v>1</v>
      </c>
      <c r="Q22">
        <f t="shared" si="1"/>
        <v>0</v>
      </c>
    </row>
    <row r="23" spans="1:17">
      <c r="A23" t="s">
        <v>62</v>
      </c>
      <c r="B23" s="2">
        <v>45689</v>
      </c>
      <c r="C23" t="s">
        <v>24</v>
      </c>
      <c r="D23" t="s">
        <v>18</v>
      </c>
      <c r="E23">
        <v>48438.85</v>
      </c>
      <c r="F23">
        <v>6992</v>
      </c>
      <c r="G23">
        <v>3.4000000000000002E-2</v>
      </c>
      <c r="H23">
        <v>20</v>
      </c>
      <c r="I23">
        <v>91</v>
      </c>
      <c r="J23">
        <v>4.3600000000000003</v>
      </c>
      <c r="K23">
        <v>0</v>
      </c>
      <c r="L23">
        <v>4.2</v>
      </c>
      <c r="M23">
        <v>778298.88</v>
      </c>
      <c r="N23">
        <v>130076.72</v>
      </c>
      <c r="O23">
        <f t="shared" si="0"/>
        <v>1</v>
      </c>
      <c r="P23">
        <f t="shared" si="2"/>
        <v>0</v>
      </c>
      <c r="Q23">
        <f t="shared" si="1"/>
        <v>0</v>
      </c>
    </row>
    <row r="24" spans="1:17">
      <c r="A24" t="s">
        <v>50</v>
      </c>
      <c r="B24" s="2">
        <v>45689</v>
      </c>
      <c r="C24" t="s">
        <v>27</v>
      </c>
      <c r="D24" t="s">
        <v>28</v>
      </c>
      <c r="E24">
        <v>80176.34</v>
      </c>
      <c r="F24">
        <v>9489</v>
      </c>
      <c r="G24">
        <v>0.14199999999999999</v>
      </c>
      <c r="H24">
        <v>22</v>
      </c>
      <c r="I24">
        <v>94.3</v>
      </c>
      <c r="J24">
        <v>2.67</v>
      </c>
      <c r="K24">
        <v>0</v>
      </c>
      <c r="L24">
        <v>3.5</v>
      </c>
      <c r="M24">
        <v>873380.02</v>
      </c>
      <c r="N24">
        <v>149734.76</v>
      </c>
      <c r="O24">
        <f t="shared" si="0"/>
        <v>0</v>
      </c>
      <c r="P24">
        <f t="shared" si="2"/>
        <v>1</v>
      </c>
      <c r="Q24">
        <f t="shared" si="1"/>
        <v>0</v>
      </c>
    </row>
    <row r="25" spans="1:17">
      <c r="A25" t="s">
        <v>40</v>
      </c>
      <c r="B25" s="2">
        <v>45717</v>
      </c>
      <c r="C25" t="s">
        <v>15</v>
      </c>
      <c r="D25" t="s">
        <v>16</v>
      </c>
      <c r="E25">
        <v>70144.78</v>
      </c>
      <c r="F25">
        <v>6806</v>
      </c>
      <c r="G25">
        <v>0.17799999999999999</v>
      </c>
      <c r="H25">
        <v>20</v>
      </c>
      <c r="I25">
        <v>93.1</v>
      </c>
      <c r="J25">
        <v>0.28000000000000003</v>
      </c>
      <c r="K25">
        <v>1</v>
      </c>
      <c r="L25">
        <v>4.3</v>
      </c>
      <c r="M25">
        <v>788087.68</v>
      </c>
      <c r="N25">
        <v>116803.42</v>
      </c>
      <c r="O25">
        <f t="shared" si="0"/>
        <v>0</v>
      </c>
      <c r="P25">
        <f t="shared" si="2"/>
        <v>0</v>
      </c>
      <c r="Q25">
        <f t="shared" si="1"/>
        <v>0</v>
      </c>
    </row>
    <row r="26" spans="1:17">
      <c r="A26" t="s">
        <v>50</v>
      </c>
      <c r="B26" s="2">
        <v>45658</v>
      </c>
      <c r="C26" t="s">
        <v>27</v>
      </c>
      <c r="D26" t="s">
        <v>28</v>
      </c>
      <c r="E26">
        <v>61426.04</v>
      </c>
      <c r="F26">
        <v>8966</v>
      </c>
      <c r="G26">
        <v>0.17299999999999999</v>
      </c>
      <c r="H26">
        <v>22</v>
      </c>
      <c r="I26">
        <v>76.400000000000006</v>
      </c>
      <c r="J26">
        <v>1.05</v>
      </c>
      <c r="K26">
        <v>0</v>
      </c>
      <c r="L26">
        <v>3.1</v>
      </c>
      <c r="M26">
        <v>778397.97</v>
      </c>
      <c r="N26">
        <v>120044.41</v>
      </c>
      <c r="O26">
        <f t="shared" si="0"/>
        <v>0</v>
      </c>
      <c r="P26">
        <f t="shared" si="2"/>
        <v>1</v>
      </c>
      <c r="Q26">
        <f t="shared" si="1"/>
        <v>0</v>
      </c>
    </row>
    <row r="27" spans="1:17">
      <c r="A27" t="s">
        <v>71</v>
      </c>
      <c r="B27" s="2">
        <v>45658</v>
      </c>
      <c r="C27" t="s">
        <v>20</v>
      </c>
      <c r="D27" t="s">
        <v>16</v>
      </c>
      <c r="E27">
        <v>71851.45</v>
      </c>
      <c r="F27">
        <v>4970</v>
      </c>
      <c r="G27">
        <v>9.8000000000000004E-2</v>
      </c>
      <c r="H27">
        <v>11</v>
      </c>
      <c r="I27">
        <v>89.6</v>
      </c>
      <c r="J27">
        <v>0.2</v>
      </c>
      <c r="K27">
        <v>0</v>
      </c>
      <c r="L27">
        <v>4.2</v>
      </c>
      <c r="M27">
        <v>691447.43</v>
      </c>
      <c r="N27">
        <v>114077.69</v>
      </c>
      <c r="O27">
        <f t="shared" si="0"/>
        <v>0</v>
      </c>
      <c r="P27">
        <f t="shared" si="2"/>
        <v>0</v>
      </c>
      <c r="Q27">
        <f t="shared" si="1"/>
        <v>0</v>
      </c>
    </row>
    <row r="28" spans="1:17">
      <c r="A28" t="s">
        <v>45</v>
      </c>
      <c r="B28" s="2">
        <v>45689</v>
      </c>
      <c r="C28" t="s">
        <v>27</v>
      </c>
      <c r="D28" t="s">
        <v>16</v>
      </c>
      <c r="E28">
        <v>67439.3</v>
      </c>
      <c r="F28">
        <v>6477</v>
      </c>
      <c r="G28">
        <v>0</v>
      </c>
      <c r="H28">
        <v>16</v>
      </c>
      <c r="I28">
        <v>90.9</v>
      </c>
      <c r="J28">
        <v>1.64</v>
      </c>
      <c r="K28">
        <v>0</v>
      </c>
      <c r="L28">
        <v>4.5</v>
      </c>
      <c r="M28">
        <v>753473.55</v>
      </c>
      <c r="N28">
        <v>151527.22</v>
      </c>
      <c r="O28">
        <f t="shared" si="0"/>
        <v>0</v>
      </c>
      <c r="P28">
        <f t="shared" si="2"/>
        <v>0</v>
      </c>
      <c r="Q28">
        <f t="shared" si="1"/>
        <v>0</v>
      </c>
    </row>
    <row r="29" spans="1:17">
      <c r="A29" t="s">
        <v>86</v>
      </c>
      <c r="B29" s="2">
        <v>45748</v>
      </c>
      <c r="C29" t="s">
        <v>24</v>
      </c>
      <c r="D29" t="s">
        <v>28</v>
      </c>
      <c r="E29">
        <v>38397.82</v>
      </c>
      <c r="F29">
        <v>7836</v>
      </c>
      <c r="G29">
        <v>7.0000000000000001E-3</v>
      </c>
      <c r="H29">
        <v>21</v>
      </c>
      <c r="I29">
        <v>92.2</v>
      </c>
      <c r="J29">
        <v>1.82</v>
      </c>
      <c r="K29">
        <v>0</v>
      </c>
      <c r="L29">
        <v>3.6</v>
      </c>
      <c r="M29">
        <v>776110.32</v>
      </c>
      <c r="N29">
        <v>139676.21</v>
      </c>
      <c r="O29">
        <f t="shared" si="0"/>
        <v>0</v>
      </c>
      <c r="P29">
        <f t="shared" si="2"/>
        <v>1</v>
      </c>
      <c r="Q29">
        <f t="shared" si="1"/>
        <v>0</v>
      </c>
    </row>
    <row r="30" spans="1:17">
      <c r="A30" t="s">
        <v>32</v>
      </c>
      <c r="B30" s="2">
        <v>45717</v>
      </c>
      <c r="C30" t="s">
        <v>15</v>
      </c>
      <c r="D30" t="s">
        <v>28</v>
      </c>
      <c r="E30">
        <v>68077.539999999994</v>
      </c>
      <c r="F30">
        <v>3360</v>
      </c>
      <c r="G30">
        <v>0.128</v>
      </c>
      <c r="H30">
        <v>14</v>
      </c>
      <c r="I30">
        <v>88.2</v>
      </c>
      <c r="J30">
        <v>1.24</v>
      </c>
      <c r="K30">
        <v>1</v>
      </c>
      <c r="L30">
        <v>4</v>
      </c>
      <c r="M30">
        <v>657429.18000000005</v>
      </c>
      <c r="N30">
        <v>88919.74</v>
      </c>
      <c r="O30">
        <f t="shared" si="0"/>
        <v>0</v>
      </c>
      <c r="P30">
        <f t="shared" si="2"/>
        <v>1</v>
      </c>
      <c r="Q30">
        <f t="shared" si="1"/>
        <v>0</v>
      </c>
    </row>
    <row r="31" spans="1:17">
      <c r="A31" t="s">
        <v>47</v>
      </c>
      <c r="B31" s="2">
        <v>45658</v>
      </c>
      <c r="C31" t="s">
        <v>15</v>
      </c>
      <c r="D31" t="s">
        <v>28</v>
      </c>
      <c r="E31">
        <v>53084.76</v>
      </c>
      <c r="F31">
        <v>3642</v>
      </c>
      <c r="G31">
        <v>0.15</v>
      </c>
      <c r="H31">
        <v>12</v>
      </c>
      <c r="I31">
        <v>91.4</v>
      </c>
      <c r="J31">
        <v>0.2</v>
      </c>
      <c r="K31">
        <v>0</v>
      </c>
      <c r="L31">
        <v>4.4000000000000004</v>
      </c>
      <c r="M31">
        <v>635181.35</v>
      </c>
      <c r="N31">
        <v>83341.25</v>
      </c>
      <c r="O31">
        <f t="shared" si="0"/>
        <v>0</v>
      </c>
      <c r="P31">
        <f t="shared" si="2"/>
        <v>1</v>
      </c>
      <c r="Q31">
        <f t="shared" si="1"/>
        <v>0</v>
      </c>
    </row>
    <row r="32" spans="1:17">
      <c r="A32" t="s">
        <v>41</v>
      </c>
      <c r="B32" s="2">
        <v>45717</v>
      </c>
      <c r="C32" t="s">
        <v>24</v>
      </c>
      <c r="D32" t="s">
        <v>18</v>
      </c>
      <c r="E32">
        <v>80562.81</v>
      </c>
      <c r="F32">
        <v>7470</v>
      </c>
      <c r="G32">
        <v>0.17199999999999999</v>
      </c>
      <c r="H32">
        <v>16</v>
      </c>
      <c r="I32">
        <v>83.5</v>
      </c>
      <c r="J32">
        <v>2.29</v>
      </c>
      <c r="K32">
        <v>0</v>
      </c>
      <c r="L32">
        <v>3.3</v>
      </c>
      <c r="M32">
        <v>776922.17</v>
      </c>
      <c r="N32">
        <v>150701.93</v>
      </c>
      <c r="O32">
        <f t="shared" si="0"/>
        <v>1</v>
      </c>
      <c r="P32">
        <f t="shared" si="2"/>
        <v>0</v>
      </c>
      <c r="Q32">
        <f t="shared" si="1"/>
        <v>0</v>
      </c>
    </row>
    <row r="33" spans="1:17">
      <c r="A33" t="s">
        <v>87</v>
      </c>
      <c r="B33" s="2">
        <v>45717</v>
      </c>
      <c r="C33" t="s">
        <v>27</v>
      </c>
      <c r="D33" t="s">
        <v>18</v>
      </c>
      <c r="E33">
        <v>51450.55</v>
      </c>
      <c r="F33">
        <v>4902</v>
      </c>
      <c r="G33">
        <v>8.5999999999999993E-2</v>
      </c>
      <c r="H33">
        <v>11</v>
      </c>
      <c r="I33">
        <v>83.7</v>
      </c>
      <c r="J33">
        <v>6.92</v>
      </c>
      <c r="K33">
        <v>1</v>
      </c>
      <c r="L33">
        <v>4.2</v>
      </c>
      <c r="M33">
        <v>677640.65</v>
      </c>
      <c r="N33">
        <v>111610.89</v>
      </c>
      <c r="O33">
        <f t="shared" si="0"/>
        <v>1</v>
      </c>
      <c r="P33">
        <f t="shared" si="2"/>
        <v>0</v>
      </c>
      <c r="Q33">
        <f t="shared" si="1"/>
        <v>0</v>
      </c>
    </row>
    <row r="34" spans="1:17">
      <c r="A34" t="s">
        <v>46</v>
      </c>
      <c r="B34" s="2">
        <v>45748</v>
      </c>
      <c r="C34" t="s">
        <v>27</v>
      </c>
      <c r="D34" t="s">
        <v>28</v>
      </c>
      <c r="E34">
        <v>55101.1</v>
      </c>
      <c r="F34">
        <v>5281</v>
      </c>
      <c r="G34">
        <v>0.189</v>
      </c>
      <c r="H34">
        <v>11</v>
      </c>
      <c r="I34">
        <v>91</v>
      </c>
      <c r="J34">
        <v>2.7</v>
      </c>
      <c r="K34">
        <v>0</v>
      </c>
      <c r="L34">
        <v>4.4000000000000004</v>
      </c>
      <c r="M34">
        <v>675177.68</v>
      </c>
      <c r="N34">
        <v>105628.68</v>
      </c>
      <c r="O34">
        <f t="shared" si="0"/>
        <v>0</v>
      </c>
      <c r="P34">
        <f t="shared" si="2"/>
        <v>1</v>
      </c>
      <c r="Q34">
        <f t="shared" si="1"/>
        <v>0</v>
      </c>
    </row>
    <row r="35" spans="1:17">
      <c r="A35" t="s">
        <v>89</v>
      </c>
      <c r="B35" s="2">
        <v>45689</v>
      </c>
      <c r="C35" t="s">
        <v>15</v>
      </c>
      <c r="D35" t="s">
        <v>28</v>
      </c>
      <c r="E35">
        <v>23914.97</v>
      </c>
      <c r="F35">
        <v>8018</v>
      </c>
      <c r="G35">
        <v>0.13900000000000001</v>
      </c>
      <c r="H35">
        <v>20</v>
      </c>
      <c r="I35">
        <v>89</v>
      </c>
      <c r="J35">
        <v>0.2</v>
      </c>
      <c r="K35">
        <v>0</v>
      </c>
      <c r="L35">
        <v>3.5</v>
      </c>
      <c r="M35">
        <v>739374.56</v>
      </c>
      <c r="N35">
        <v>121032.29</v>
      </c>
      <c r="O35">
        <f t="shared" si="0"/>
        <v>0</v>
      </c>
      <c r="P35">
        <f t="shared" si="2"/>
        <v>1</v>
      </c>
      <c r="Q35">
        <f t="shared" si="1"/>
        <v>0</v>
      </c>
    </row>
    <row r="36" spans="1:17">
      <c r="A36" t="s">
        <v>98</v>
      </c>
      <c r="B36" s="2">
        <v>45658</v>
      </c>
      <c r="C36" t="s">
        <v>24</v>
      </c>
      <c r="D36" t="s">
        <v>16</v>
      </c>
      <c r="E36">
        <v>54948.02</v>
      </c>
      <c r="F36">
        <v>6534</v>
      </c>
      <c r="G36">
        <v>0.183</v>
      </c>
      <c r="H36">
        <v>14</v>
      </c>
      <c r="I36">
        <v>94.5</v>
      </c>
      <c r="J36">
        <v>1.56</v>
      </c>
      <c r="K36">
        <v>0</v>
      </c>
      <c r="L36">
        <v>4</v>
      </c>
      <c r="M36">
        <v>727957.48</v>
      </c>
      <c r="N36">
        <v>74805.23</v>
      </c>
      <c r="O36">
        <f t="shared" si="0"/>
        <v>0</v>
      </c>
      <c r="P36">
        <f t="shared" si="2"/>
        <v>0</v>
      </c>
      <c r="Q36">
        <f t="shared" si="1"/>
        <v>0</v>
      </c>
    </row>
    <row r="37" spans="1:17">
      <c r="A37" t="s">
        <v>31</v>
      </c>
      <c r="B37" s="2">
        <v>45658</v>
      </c>
      <c r="C37" t="s">
        <v>20</v>
      </c>
      <c r="D37" t="s">
        <v>28</v>
      </c>
      <c r="E37">
        <v>75269.87</v>
      </c>
      <c r="F37">
        <v>8838</v>
      </c>
      <c r="G37">
        <v>9.1999999999999998E-2</v>
      </c>
      <c r="H37">
        <v>21</v>
      </c>
      <c r="I37">
        <v>83.1</v>
      </c>
      <c r="J37">
        <v>9.56</v>
      </c>
      <c r="K37">
        <v>1</v>
      </c>
      <c r="L37">
        <v>4.2</v>
      </c>
      <c r="M37">
        <v>820593.93</v>
      </c>
      <c r="N37">
        <v>115860.06</v>
      </c>
      <c r="O37">
        <f t="shared" si="0"/>
        <v>0</v>
      </c>
      <c r="P37">
        <f t="shared" si="2"/>
        <v>1</v>
      </c>
      <c r="Q37">
        <f t="shared" si="1"/>
        <v>0</v>
      </c>
    </row>
    <row r="38" spans="1:17">
      <c r="A38" t="s">
        <v>17</v>
      </c>
      <c r="B38" s="2">
        <v>45748</v>
      </c>
      <c r="C38" t="s">
        <v>15</v>
      </c>
      <c r="D38" t="s">
        <v>18</v>
      </c>
      <c r="E38">
        <v>68148.52</v>
      </c>
      <c r="F38">
        <v>8567</v>
      </c>
      <c r="G38">
        <v>0.127</v>
      </c>
      <c r="H38">
        <v>23</v>
      </c>
      <c r="I38">
        <v>95.6</v>
      </c>
      <c r="J38">
        <v>0.8</v>
      </c>
      <c r="K38">
        <v>0</v>
      </c>
      <c r="L38">
        <v>3.9</v>
      </c>
      <c r="M38">
        <v>850164.26</v>
      </c>
      <c r="N38">
        <v>149262.75</v>
      </c>
      <c r="O38">
        <f t="shared" si="0"/>
        <v>1</v>
      </c>
      <c r="P38">
        <f t="shared" si="2"/>
        <v>0</v>
      </c>
      <c r="Q38">
        <f t="shared" si="1"/>
        <v>0</v>
      </c>
    </row>
    <row r="39" spans="1:17">
      <c r="A39" t="s">
        <v>56</v>
      </c>
      <c r="B39" s="2">
        <v>45717</v>
      </c>
      <c r="C39" t="s">
        <v>24</v>
      </c>
      <c r="D39" t="s">
        <v>16</v>
      </c>
      <c r="E39">
        <v>69779</v>
      </c>
      <c r="F39">
        <v>6544</v>
      </c>
      <c r="G39">
        <v>0.152</v>
      </c>
      <c r="H39">
        <v>18</v>
      </c>
      <c r="I39">
        <v>90.2</v>
      </c>
      <c r="J39">
        <v>0.85</v>
      </c>
      <c r="K39">
        <v>1</v>
      </c>
      <c r="L39">
        <v>3.3</v>
      </c>
      <c r="M39">
        <v>758827.64</v>
      </c>
      <c r="N39">
        <v>161439.48000000001</v>
      </c>
      <c r="O39">
        <f t="shared" si="0"/>
        <v>0</v>
      </c>
      <c r="P39">
        <f t="shared" si="2"/>
        <v>0</v>
      </c>
      <c r="Q39">
        <f t="shared" si="1"/>
        <v>0</v>
      </c>
    </row>
    <row r="40" spans="1:17">
      <c r="A40" t="s">
        <v>37</v>
      </c>
      <c r="B40" s="2">
        <v>45658</v>
      </c>
      <c r="C40" t="s">
        <v>24</v>
      </c>
      <c r="D40" t="s">
        <v>18</v>
      </c>
      <c r="E40">
        <v>74907.98</v>
      </c>
      <c r="F40">
        <v>5306</v>
      </c>
      <c r="G40">
        <v>6.2E-2</v>
      </c>
      <c r="H40">
        <v>16</v>
      </c>
      <c r="I40">
        <v>95.6</v>
      </c>
      <c r="J40">
        <v>1.02</v>
      </c>
      <c r="K40">
        <v>0</v>
      </c>
      <c r="L40">
        <v>3.7</v>
      </c>
      <c r="M40">
        <v>749559.71</v>
      </c>
      <c r="N40">
        <v>144522.53</v>
      </c>
      <c r="O40">
        <f t="shared" si="0"/>
        <v>1</v>
      </c>
      <c r="P40">
        <f t="shared" si="2"/>
        <v>0</v>
      </c>
      <c r="Q40">
        <f t="shared" si="1"/>
        <v>0</v>
      </c>
    </row>
    <row r="41" spans="1:17">
      <c r="A41" t="s">
        <v>66</v>
      </c>
      <c r="B41" s="2">
        <v>45748</v>
      </c>
      <c r="C41" t="s">
        <v>27</v>
      </c>
      <c r="D41" t="s">
        <v>21</v>
      </c>
      <c r="E41">
        <v>74881.56</v>
      </c>
      <c r="F41">
        <v>9999</v>
      </c>
      <c r="G41">
        <v>1.2999999999999999E-2</v>
      </c>
      <c r="H41">
        <v>20</v>
      </c>
      <c r="I41">
        <v>89.6</v>
      </c>
      <c r="J41">
        <v>8.44</v>
      </c>
      <c r="K41">
        <v>0</v>
      </c>
      <c r="L41">
        <v>4.0999999999999996</v>
      </c>
      <c r="M41">
        <v>898031.04</v>
      </c>
      <c r="N41">
        <v>138666.5</v>
      </c>
      <c r="O41">
        <f t="shared" si="0"/>
        <v>0</v>
      </c>
      <c r="P41">
        <f t="shared" si="2"/>
        <v>0</v>
      </c>
      <c r="Q41">
        <f t="shared" si="1"/>
        <v>1</v>
      </c>
    </row>
    <row r="42" spans="1:17">
      <c r="A42" t="s">
        <v>53</v>
      </c>
      <c r="B42" s="2">
        <v>45717</v>
      </c>
      <c r="C42" t="s">
        <v>24</v>
      </c>
      <c r="D42" t="s">
        <v>18</v>
      </c>
      <c r="E42">
        <v>56517.9</v>
      </c>
      <c r="F42">
        <v>9574</v>
      </c>
      <c r="G42">
        <v>0.20399999999999999</v>
      </c>
      <c r="H42">
        <v>20</v>
      </c>
      <c r="I42">
        <v>88.2</v>
      </c>
      <c r="J42">
        <v>5.37</v>
      </c>
      <c r="K42">
        <v>1</v>
      </c>
      <c r="L42">
        <v>4.9000000000000004</v>
      </c>
      <c r="M42">
        <v>842157.92</v>
      </c>
      <c r="N42">
        <v>107348.22</v>
      </c>
      <c r="O42">
        <f t="shared" si="0"/>
        <v>1</v>
      </c>
      <c r="P42">
        <f t="shared" si="2"/>
        <v>0</v>
      </c>
      <c r="Q42">
        <f t="shared" si="1"/>
        <v>0</v>
      </c>
    </row>
    <row r="43" spans="1:17">
      <c r="A43" t="s">
        <v>57</v>
      </c>
      <c r="B43" s="2">
        <v>45658</v>
      </c>
      <c r="C43" t="s">
        <v>27</v>
      </c>
      <c r="D43" t="s">
        <v>18</v>
      </c>
      <c r="E43">
        <v>51430.31</v>
      </c>
      <c r="F43">
        <v>6427</v>
      </c>
      <c r="G43">
        <v>0.23400000000000001</v>
      </c>
      <c r="H43">
        <v>14</v>
      </c>
      <c r="I43">
        <v>88.8</v>
      </c>
      <c r="J43">
        <v>0.77</v>
      </c>
      <c r="K43">
        <v>0</v>
      </c>
      <c r="L43">
        <v>4.0999999999999996</v>
      </c>
      <c r="M43">
        <v>715890.53</v>
      </c>
      <c r="N43">
        <v>109032.15</v>
      </c>
      <c r="O43">
        <f t="shared" si="0"/>
        <v>1</v>
      </c>
      <c r="P43">
        <f t="shared" si="2"/>
        <v>0</v>
      </c>
      <c r="Q43">
        <f t="shared" si="1"/>
        <v>0</v>
      </c>
    </row>
    <row r="44" spans="1:17">
      <c r="A44" t="s">
        <v>66</v>
      </c>
      <c r="B44" s="2">
        <v>45689</v>
      </c>
      <c r="C44" t="s">
        <v>27</v>
      </c>
      <c r="D44" t="s">
        <v>21</v>
      </c>
      <c r="E44">
        <v>29389.32</v>
      </c>
      <c r="F44">
        <v>7925</v>
      </c>
      <c r="G44">
        <v>0.17699999999999999</v>
      </c>
      <c r="H44">
        <v>21</v>
      </c>
      <c r="I44">
        <v>90.9</v>
      </c>
      <c r="J44">
        <v>7.86</v>
      </c>
      <c r="K44">
        <v>0</v>
      </c>
      <c r="L44">
        <v>4</v>
      </c>
      <c r="M44">
        <v>783582</v>
      </c>
      <c r="N44">
        <v>130670.93</v>
      </c>
      <c r="O44">
        <f t="shared" si="0"/>
        <v>0</v>
      </c>
      <c r="P44">
        <f t="shared" si="2"/>
        <v>0</v>
      </c>
      <c r="Q44">
        <f t="shared" si="1"/>
        <v>1</v>
      </c>
    </row>
    <row r="45" spans="1:17">
      <c r="A45" t="s">
        <v>75</v>
      </c>
      <c r="B45" s="2">
        <v>45689</v>
      </c>
      <c r="C45" t="s">
        <v>27</v>
      </c>
      <c r="D45" t="s">
        <v>16</v>
      </c>
      <c r="E45">
        <v>41819.449999999997</v>
      </c>
      <c r="F45">
        <v>9412</v>
      </c>
      <c r="G45">
        <v>0.15</v>
      </c>
      <c r="H45">
        <v>22</v>
      </c>
      <c r="I45">
        <v>91</v>
      </c>
      <c r="J45">
        <v>3.67</v>
      </c>
      <c r="K45">
        <v>0</v>
      </c>
      <c r="L45">
        <v>4.2</v>
      </c>
      <c r="M45">
        <v>804975.5</v>
      </c>
      <c r="N45">
        <v>140054.5</v>
      </c>
      <c r="O45">
        <f t="shared" si="0"/>
        <v>0</v>
      </c>
      <c r="P45">
        <f t="shared" si="2"/>
        <v>0</v>
      </c>
      <c r="Q45">
        <f t="shared" si="1"/>
        <v>0</v>
      </c>
    </row>
    <row r="46" spans="1:17">
      <c r="A46" t="s">
        <v>63</v>
      </c>
      <c r="B46" s="2">
        <v>45658</v>
      </c>
      <c r="C46" t="s">
        <v>20</v>
      </c>
      <c r="D46" t="s">
        <v>28</v>
      </c>
      <c r="E46">
        <v>72150.53</v>
      </c>
      <c r="F46">
        <v>9323</v>
      </c>
      <c r="G46">
        <v>0.157</v>
      </c>
      <c r="H46">
        <v>22</v>
      </c>
      <c r="I46">
        <v>82.9</v>
      </c>
      <c r="J46">
        <v>11.37</v>
      </c>
      <c r="K46">
        <v>1</v>
      </c>
      <c r="L46">
        <v>4.3</v>
      </c>
      <c r="M46">
        <v>825797.91</v>
      </c>
      <c r="N46">
        <v>130945.24</v>
      </c>
      <c r="O46">
        <f t="shared" si="0"/>
        <v>0</v>
      </c>
      <c r="P46">
        <f t="shared" si="2"/>
        <v>1</v>
      </c>
      <c r="Q46">
        <f t="shared" si="1"/>
        <v>0</v>
      </c>
    </row>
    <row r="47" spans="1:17">
      <c r="A47" t="s">
        <v>80</v>
      </c>
      <c r="B47" s="2">
        <v>45658</v>
      </c>
      <c r="C47" t="s">
        <v>27</v>
      </c>
      <c r="D47" t="s">
        <v>16</v>
      </c>
      <c r="E47">
        <v>47241.919999999998</v>
      </c>
      <c r="F47">
        <v>4264</v>
      </c>
      <c r="G47">
        <v>6.9000000000000006E-2</v>
      </c>
      <c r="H47">
        <v>13</v>
      </c>
      <c r="I47">
        <v>95.3</v>
      </c>
      <c r="J47">
        <v>0.85</v>
      </c>
      <c r="K47">
        <v>0</v>
      </c>
      <c r="L47">
        <v>4.3</v>
      </c>
      <c r="M47">
        <v>658072.14</v>
      </c>
      <c r="N47">
        <v>110595.89</v>
      </c>
      <c r="O47">
        <f t="shared" si="0"/>
        <v>0</v>
      </c>
      <c r="P47">
        <f t="shared" si="2"/>
        <v>0</v>
      </c>
      <c r="Q47">
        <f t="shared" si="1"/>
        <v>0</v>
      </c>
    </row>
    <row r="48" spans="1:17">
      <c r="A48" t="s">
        <v>44</v>
      </c>
      <c r="B48" s="2">
        <v>45748</v>
      </c>
      <c r="C48" t="s">
        <v>24</v>
      </c>
      <c r="D48" t="s">
        <v>28</v>
      </c>
      <c r="E48">
        <v>31207.51</v>
      </c>
      <c r="F48">
        <v>3701</v>
      </c>
      <c r="G48">
        <v>4.2999999999999997E-2</v>
      </c>
      <c r="H48">
        <v>11</v>
      </c>
      <c r="I48">
        <v>84.7</v>
      </c>
      <c r="J48">
        <v>0.33</v>
      </c>
      <c r="K48">
        <v>0</v>
      </c>
      <c r="L48">
        <v>4.3</v>
      </c>
      <c r="M48">
        <v>586307.22</v>
      </c>
      <c r="N48">
        <v>73927.850000000006</v>
      </c>
      <c r="O48">
        <f t="shared" si="0"/>
        <v>0</v>
      </c>
      <c r="P48">
        <f t="shared" si="2"/>
        <v>1</v>
      </c>
      <c r="Q48">
        <f t="shared" si="1"/>
        <v>0</v>
      </c>
    </row>
    <row r="49" spans="1:17">
      <c r="A49" t="s">
        <v>34</v>
      </c>
      <c r="B49" s="2">
        <v>45748</v>
      </c>
      <c r="C49" t="s">
        <v>20</v>
      </c>
      <c r="D49" t="s">
        <v>28</v>
      </c>
      <c r="E49">
        <v>65312.49</v>
      </c>
      <c r="F49">
        <v>7189</v>
      </c>
      <c r="G49">
        <v>0.05</v>
      </c>
      <c r="H49">
        <v>19</v>
      </c>
      <c r="I49">
        <v>93.7</v>
      </c>
      <c r="J49">
        <v>7.16</v>
      </c>
      <c r="K49">
        <v>0</v>
      </c>
      <c r="L49">
        <v>4.5999999999999996</v>
      </c>
      <c r="M49">
        <v>773815.14</v>
      </c>
      <c r="N49">
        <v>133948.39000000001</v>
      </c>
      <c r="O49">
        <f t="shared" si="0"/>
        <v>0</v>
      </c>
      <c r="P49">
        <f t="shared" si="2"/>
        <v>1</v>
      </c>
      <c r="Q49">
        <f t="shared" si="1"/>
        <v>0</v>
      </c>
    </row>
    <row r="50" spans="1:17">
      <c r="A50" t="s">
        <v>59</v>
      </c>
      <c r="B50" s="2">
        <v>45748</v>
      </c>
      <c r="C50" t="s">
        <v>24</v>
      </c>
      <c r="D50" t="s">
        <v>28</v>
      </c>
      <c r="E50">
        <v>71855.09</v>
      </c>
      <c r="F50">
        <v>5911</v>
      </c>
      <c r="G50">
        <v>0.19700000000000001</v>
      </c>
      <c r="H50">
        <v>15</v>
      </c>
      <c r="I50">
        <v>94.3</v>
      </c>
      <c r="J50">
        <v>3.55</v>
      </c>
      <c r="K50">
        <v>0</v>
      </c>
      <c r="L50">
        <v>4.0999999999999996</v>
      </c>
      <c r="M50">
        <v>725847.99</v>
      </c>
      <c r="N50">
        <v>122698.73</v>
      </c>
      <c r="O50">
        <f t="shared" si="0"/>
        <v>0</v>
      </c>
      <c r="P50">
        <f t="shared" si="2"/>
        <v>1</v>
      </c>
      <c r="Q50">
        <f t="shared" si="1"/>
        <v>0</v>
      </c>
    </row>
    <row r="51" spans="1:17">
      <c r="A51" t="s">
        <v>47</v>
      </c>
      <c r="B51" s="2">
        <v>45717</v>
      </c>
      <c r="C51" t="s">
        <v>15</v>
      </c>
      <c r="D51" t="s">
        <v>28</v>
      </c>
      <c r="E51">
        <v>90084.4</v>
      </c>
      <c r="F51">
        <v>6832</v>
      </c>
      <c r="G51">
        <v>0.185</v>
      </c>
      <c r="H51">
        <v>14</v>
      </c>
      <c r="I51">
        <v>80.5</v>
      </c>
      <c r="J51">
        <v>0.77</v>
      </c>
      <c r="K51">
        <v>1</v>
      </c>
      <c r="L51">
        <v>4.4000000000000004</v>
      </c>
      <c r="M51">
        <v>740102.64</v>
      </c>
      <c r="N51">
        <v>114299.07</v>
      </c>
      <c r="O51">
        <f t="shared" si="0"/>
        <v>0</v>
      </c>
      <c r="P51">
        <f t="shared" si="2"/>
        <v>1</v>
      </c>
      <c r="Q51">
        <f t="shared" si="1"/>
        <v>0</v>
      </c>
    </row>
    <row r="52" spans="1:17">
      <c r="A52" t="s">
        <v>68</v>
      </c>
      <c r="B52" s="2">
        <v>45717</v>
      </c>
      <c r="C52" t="s">
        <v>20</v>
      </c>
      <c r="D52" t="s">
        <v>18</v>
      </c>
      <c r="E52">
        <v>48031.74</v>
      </c>
      <c r="F52">
        <v>6516</v>
      </c>
      <c r="G52">
        <v>6.7000000000000004E-2</v>
      </c>
      <c r="H52">
        <v>14</v>
      </c>
      <c r="I52">
        <v>99</v>
      </c>
      <c r="J52">
        <v>0.48</v>
      </c>
      <c r="K52">
        <v>1</v>
      </c>
      <c r="L52">
        <v>4.3</v>
      </c>
      <c r="M52">
        <v>765906.95</v>
      </c>
      <c r="N52">
        <v>114005.9</v>
      </c>
      <c r="O52">
        <f t="shared" si="0"/>
        <v>1</v>
      </c>
      <c r="P52">
        <f t="shared" si="2"/>
        <v>0</v>
      </c>
      <c r="Q52">
        <f t="shared" si="1"/>
        <v>0</v>
      </c>
    </row>
    <row r="53" spans="1:17">
      <c r="A53" t="s">
        <v>19</v>
      </c>
      <c r="B53" s="2">
        <v>45658</v>
      </c>
      <c r="C53" t="s">
        <v>20</v>
      </c>
      <c r="D53" t="s">
        <v>21</v>
      </c>
      <c r="E53">
        <v>71838.86</v>
      </c>
      <c r="F53">
        <v>10979</v>
      </c>
      <c r="G53">
        <v>0.215</v>
      </c>
      <c r="H53">
        <v>26</v>
      </c>
      <c r="I53">
        <v>88.6</v>
      </c>
      <c r="J53">
        <v>7.7</v>
      </c>
      <c r="K53">
        <v>1</v>
      </c>
      <c r="L53">
        <v>3.8</v>
      </c>
      <c r="M53">
        <v>930581.7</v>
      </c>
      <c r="N53">
        <v>136207.98000000001</v>
      </c>
      <c r="O53">
        <f t="shared" si="0"/>
        <v>0</v>
      </c>
      <c r="P53">
        <f t="shared" si="2"/>
        <v>0</v>
      </c>
      <c r="Q53">
        <f t="shared" si="1"/>
        <v>1</v>
      </c>
    </row>
    <row r="54" spans="1:17">
      <c r="A54" t="s">
        <v>35</v>
      </c>
      <c r="B54" s="2">
        <v>45689</v>
      </c>
      <c r="C54" t="s">
        <v>27</v>
      </c>
      <c r="D54" t="s">
        <v>18</v>
      </c>
      <c r="E54">
        <v>99874.01</v>
      </c>
      <c r="F54">
        <v>5887</v>
      </c>
      <c r="G54">
        <v>0.26200000000000001</v>
      </c>
      <c r="H54">
        <v>14</v>
      </c>
      <c r="I54">
        <v>88.7</v>
      </c>
      <c r="J54">
        <v>6.18</v>
      </c>
      <c r="K54">
        <v>0</v>
      </c>
      <c r="L54">
        <v>4.7</v>
      </c>
      <c r="M54">
        <v>746677.75</v>
      </c>
      <c r="N54">
        <v>122437.84</v>
      </c>
      <c r="O54">
        <f t="shared" si="0"/>
        <v>1</v>
      </c>
      <c r="P54">
        <f t="shared" si="2"/>
        <v>0</v>
      </c>
      <c r="Q54">
        <f t="shared" si="1"/>
        <v>0</v>
      </c>
    </row>
    <row r="55" spans="1:17">
      <c r="A55" t="s">
        <v>98</v>
      </c>
      <c r="B55" s="2">
        <v>45717</v>
      </c>
      <c r="C55" t="s">
        <v>24</v>
      </c>
      <c r="D55" t="s">
        <v>16</v>
      </c>
      <c r="E55">
        <v>22387.26</v>
      </c>
      <c r="F55">
        <v>6301</v>
      </c>
      <c r="G55">
        <v>0.14599999999999999</v>
      </c>
      <c r="H55">
        <v>14</v>
      </c>
      <c r="I55">
        <v>85.9</v>
      </c>
      <c r="J55">
        <v>1.17</v>
      </c>
      <c r="K55">
        <v>1</v>
      </c>
      <c r="L55">
        <v>3.7</v>
      </c>
      <c r="M55">
        <v>665342.49</v>
      </c>
      <c r="N55">
        <v>93441.81</v>
      </c>
      <c r="O55">
        <f t="shared" si="0"/>
        <v>0</v>
      </c>
      <c r="P55">
        <f t="shared" si="2"/>
        <v>0</v>
      </c>
      <c r="Q55">
        <f t="shared" si="1"/>
        <v>0</v>
      </c>
    </row>
    <row r="56" spans="1:17">
      <c r="A56" t="s">
        <v>59</v>
      </c>
      <c r="B56" s="2">
        <v>45717</v>
      </c>
      <c r="C56" t="s">
        <v>24</v>
      </c>
      <c r="D56" t="s">
        <v>28</v>
      </c>
      <c r="E56">
        <v>47093.55</v>
      </c>
      <c r="F56">
        <v>5550</v>
      </c>
      <c r="G56">
        <v>0.1</v>
      </c>
      <c r="H56">
        <v>12</v>
      </c>
      <c r="I56">
        <v>95</v>
      </c>
      <c r="J56">
        <v>2.33</v>
      </c>
      <c r="K56">
        <v>1</v>
      </c>
      <c r="L56">
        <v>3.7</v>
      </c>
      <c r="M56">
        <v>696744.15</v>
      </c>
      <c r="N56">
        <v>152230.09</v>
      </c>
      <c r="O56">
        <f t="shared" si="0"/>
        <v>0</v>
      </c>
      <c r="P56">
        <f t="shared" si="2"/>
        <v>1</v>
      </c>
      <c r="Q56">
        <f t="shared" si="1"/>
        <v>0</v>
      </c>
    </row>
    <row r="57" spans="1:17">
      <c r="A57" t="s">
        <v>39</v>
      </c>
      <c r="B57" s="2">
        <v>45658</v>
      </c>
      <c r="C57" t="s">
        <v>15</v>
      </c>
      <c r="D57" t="s">
        <v>18</v>
      </c>
      <c r="E57">
        <v>70937.240000000005</v>
      </c>
      <c r="F57">
        <v>3595</v>
      </c>
      <c r="G57">
        <v>0.14099999999999999</v>
      </c>
      <c r="H57">
        <v>11</v>
      </c>
      <c r="I57">
        <v>88.9</v>
      </c>
      <c r="J57">
        <v>2.83</v>
      </c>
      <c r="K57">
        <v>1</v>
      </c>
      <c r="L57">
        <v>3.3</v>
      </c>
      <c r="M57">
        <v>661927.14</v>
      </c>
      <c r="N57">
        <v>79218.570000000007</v>
      </c>
      <c r="O57">
        <f t="shared" si="0"/>
        <v>1</v>
      </c>
      <c r="P57">
        <f t="shared" si="2"/>
        <v>0</v>
      </c>
      <c r="Q57">
        <f t="shared" si="1"/>
        <v>0</v>
      </c>
    </row>
    <row r="58" spans="1:17">
      <c r="A58" t="s">
        <v>35</v>
      </c>
      <c r="B58" s="2">
        <v>45717</v>
      </c>
      <c r="C58" t="s">
        <v>27</v>
      </c>
      <c r="D58" t="s">
        <v>18</v>
      </c>
      <c r="E58">
        <v>81195.5</v>
      </c>
      <c r="F58">
        <v>5516</v>
      </c>
      <c r="G58">
        <v>0.106</v>
      </c>
      <c r="H58">
        <v>14</v>
      </c>
      <c r="I58">
        <v>88</v>
      </c>
      <c r="J58">
        <v>1.76</v>
      </c>
      <c r="K58">
        <v>0</v>
      </c>
      <c r="L58">
        <v>4.3</v>
      </c>
      <c r="M58">
        <v>720852.5</v>
      </c>
      <c r="N58">
        <v>98565.62</v>
      </c>
      <c r="O58">
        <f t="shared" si="0"/>
        <v>1</v>
      </c>
      <c r="P58">
        <f t="shared" si="2"/>
        <v>0</v>
      </c>
      <c r="Q58">
        <f t="shared" si="1"/>
        <v>0</v>
      </c>
    </row>
    <row r="59" spans="1:17">
      <c r="A59" t="s">
        <v>86</v>
      </c>
      <c r="B59" s="2">
        <v>45689</v>
      </c>
      <c r="C59" t="s">
        <v>24</v>
      </c>
      <c r="D59" t="s">
        <v>28</v>
      </c>
      <c r="E59">
        <v>28670.43</v>
      </c>
      <c r="F59">
        <v>7574</v>
      </c>
      <c r="G59">
        <v>0.114</v>
      </c>
      <c r="H59">
        <v>19</v>
      </c>
      <c r="I59">
        <v>82.7</v>
      </c>
      <c r="J59">
        <v>2.74</v>
      </c>
      <c r="K59">
        <v>0</v>
      </c>
      <c r="L59">
        <v>4.5999999999999996</v>
      </c>
      <c r="M59">
        <v>697888.09</v>
      </c>
      <c r="N59">
        <v>116249.87</v>
      </c>
      <c r="O59">
        <f t="shared" si="0"/>
        <v>0</v>
      </c>
      <c r="P59">
        <f t="shared" si="2"/>
        <v>1</v>
      </c>
      <c r="Q59">
        <f t="shared" si="1"/>
        <v>0</v>
      </c>
    </row>
    <row r="60" spans="1:17">
      <c r="A60" t="s">
        <v>79</v>
      </c>
      <c r="B60" s="2">
        <v>45689</v>
      </c>
      <c r="C60" t="s">
        <v>15</v>
      </c>
      <c r="D60" t="s">
        <v>18</v>
      </c>
      <c r="E60">
        <v>113736</v>
      </c>
      <c r="F60">
        <v>8961</v>
      </c>
      <c r="G60">
        <v>0.20200000000000001</v>
      </c>
      <c r="H60">
        <v>24</v>
      </c>
      <c r="I60">
        <v>86.2</v>
      </c>
      <c r="J60">
        <v>21.63</v>
      </c>
      <c r="K60">
        <v>0</v>
      </c>
      <c r="L60">
        <v>4</v>
      </c>
      <c r="M60">
        <v>870937.4</v>
      </c>
      <c r="N60">
        <v>175282.74</v>
      </c>
      <c r="O60">
        <f t="shared" si="0"/>
        <v>1</v>
      </c>
      <c r="P60">
        <f t="shared" si="2"/>
        <v>0</v>
      </c>
      <c r="Q60">
        <f t="shared" si="1"/>
        <v>0</v>
      </c>
    </row>
    <row r="61" spans="1:17">
      <c r="A61" t="s">
        <v>41</v>
      </c>
      <c r="B61" s="2">
        <v>45689</v>
      </c>
      <c r="C61" t="s">
        <v>24</v>
      </c>
      <c r="D61" t="s">
        <v>18</v>
      </c>
      <c r="E61">
        <v>54872.82</v>
      </c>
      <c r="F61">
        <v>5962</v>
      </c>
      <c r="G61">
        <v>6.4000000000000001E-2</v>
      </c>
      <c r="H61">
        <v>12</v>
      </c>
      <c r="I61">
        <v>85.4</v>
      </c>
      <c r="J61">
        <v>2.58</v>
      </c>
      <c r="K61">
        <v>0</v>
      </c>
      <c r="L61">
        <v>2.9</v>
      </c>
      <c r="M61">
        <v>691112.6</v>
      </c>
      <c r="N61">
        <v>109212.83</v>
      </c>
      <c r="O61">
        <f t="shared" si="0"/>
        <v>1</v>
      </c>
      <c r="P61">
        <f t="shared" si="2"/>
        <v>0</v>
      </c>
      <c r="Q61">
        <f t="shared" si="1"/>
        <v>0</v>
      </c>
    </row>
    <row r="62" spans="1:17">
      <c r="A62" t="s">
        <v>64</v>
      </c>
      <c r="B62" s="2">
        <v>45717</v>
      </c>
      <c r="C62" t="s">
        <v>15</v>
      </c>
      <c r="D62" t="s">
        <v>16</v>
      </c>
      <c r="E62">
        <v>50825.08</v>
      </c>
      <c r="F62">
        <v>8949</v>
      </c>
      <c r="G62">
        <v>0.157</v>
      </c>
      <c r="H62">
        <v>21</v>
      </c>
      <c r="I62">
        <v>84.7</v>
      </c>
      <c r="J62">
        <v>7.73</v>
      </c>
      <c r="K62">
        <v>0</v>
      </c>
      <c r="L62">
        <v>4.9000000000000004</v>
      </c>
      <c r="M62">
        <v>769702.76</v>
      </c>
      <c r="N62">
        <v>158697</v>
      </c>
      <c r="O62">
        <f t="shared" si="0"/>
        <v>0</v>
      </c>
      <c r="P62">
        <f t="shared" si="2"/>
        <v>0</v>
      </c>
      <c r="Q62">
        <f t="shared" si="1"/>
        <v>0</v>
      </c>
    </row>
    <row r="63" spans="1:17">
      <c r="A63" t="s">
        <v>42</v>
      </c>
      <c r="B63" s="2">
        <v>45748</v>
      </c>
      <c r="C63" t="s">
        <v>27</v>
      </c>
      <c r="D63" t="s">
        <v>28</v>
      </c>
      <c r="E63">
        <v>36475.71</v>
      </c>
      <c r="F63">
        <v>3559</v>
      </c>
      <c r="G63">
        <v>0.03</v>
      </c>
      <c r="H63">
        <v>8</v>
      </c>
      <c r="I63">
        <v>83.6</v>
      </c>
      <c r="J63">
        <v>1.41</v>
      </c>
      <c r="K63">
        <v>0</v>
      </c>
      <c r="L63">
        <v>4.2</v>
      </c>
      <c r="M63">
        <v>569100.78</v>
      </c>
      <c r="N63">
        <v>104808.78</v>
      </c>
      <c r="O63">
        <f t="shared" si="0"/>
        <v>0</v>
      </c>
      <c r="P63">
        <f t="shared" si="2"/>
        <v>1</v>
      </c>
      <c r="Q63">
        <f t="shared" si="1"/>
        <v>0</v>
      </c>
    </row>
    <row r="64" spans="1:17">
      <c r="A64" t="s">
        <v>37</v>
      </c>
      <c r="B64" s="2">
        <v>45689</v>
      </c>
      <c r="C64" t="s">
        <v>24</v>
      </c>
      <c r="D64" t="s">
        <v>18</v>
      </c>
      <c r="E64">
        <v>37284.660000000003</v>
      </c>
      <c r="F64">
        <v>3928</v>
      </c>
      <c r="G64">
        <v>7.3999999999999996E-2</v>
      </c>
      <c r="H64">
        <v>12</v>
      </c>
      <c r="I64">
        <v>86.5</v>
      </c>
      <c r="J64">
        <v>1.64</v>
      </c>
      <c r="K64">
        <v>0</v>
      </c>
      <c r="L64">
        <v>3.8</v>
      </c>
      <c r="M64">
        <v>615966.48</v>
      </c>
      <c r="N64">
        <v>91509.38</v>
      </c>
      <c r="O64">
        <f t="shared" si="0"/>
        <v>1</v>
      </c>
      <c r="P64">
        <f t="shared" si="2"/>
        <v>0</v>
      </c>
      <c r="Q64">
        <f t="shared" si="1"/>
        <v>0</v>
      </c>
    </row>
    <row r="65" spans="1:17">
      <c r="A65" t="s">
        <v>44</v>
      </c>
      <c r="B65" s="2">
        <v>45717</v>
      </c>
      <c r="C65" t="s">
        <v>24</v>
      </c>
      <c r="D65" t="s">
        <v>28</v>
      </c>
      <c r="E65">
        <v>82116.19</v>
      </c>
      <c r="F65">
        <v>5988</v>
      </c>
      <c r="G65">
        <v>0.04</v>
      </c>
      <c r="H65">
        <v>17</v>
      </c>
      <c r="I65">
        <v>91.8</v>
      </c>
      <c r="J65">
        <v>5.75</v>
      </c>
      <c r="K65">
        <v>0</v>
      </c>
      <c r="L65">
        <v>4.7</v>
      </c>
      <c r="M65">
        <v>739852.58</v>
      </c>
      <c r="N65">
        <v>129386.43</v>
      </c>
      <c r="O65">
        <f t="shared" si="0"/>
        <v>0</v>
      </c>
      <c r="P65">
        <f t="shared" si="2"/>
        <v>1</v>
      </c>
      <c r="Q65">
        <f t="shared" si="1"/>
        <v>0</v>
      </c>
    </row>
    <row r="66" spans="1:17">
      <c r="A66" t="s">
        <v>44</v>
      </c>
      <c r="B66" s="2">
        <v>45658</v>
      </c>
      <c r="C66" t="s">
        <v>24</v>
      </c>
      <c r="D66" t="s">
        <v>28</v>
      </c>
      <c r="E66">
        <v>50517.94</v>
      </c>
      <c r="F66">
        <v>7024</v>
      </c>
      <c r="G66">
        <v>2.9000000000000001E-2</v>
      </c>
      <c r="H66">
        <v>18</v>
      </c>
      <c r="I66">
        <v>79.2</v>
      </c>
      <c r="J66">
        <v>6.61</v>
      </c>
      <c r="K66">
        <v>1</v>
      </c>
      <c r="L66">
        <v>4.0999999999999996</v>
      </c>
      <c r="M66">
        <v>711213.46</v>
      </c>
      <c r="N66">
        <v>105863.26</v>
      </c>
      <c r="O66">
        <f t="shared" ref="O66:O129" si="3">IF(D66="High Street",1,0)</f>
        <v>0</v>
      </c>
      <c r="P66">
        <f t="shared" si="2"/>
        <v>1</v>
      </c>
      <c r="Q66">
        <f t="shared" ref="Q66:Q129" si="4">IF(D66="Airport",1,0)</f>
        <v>0</v>
      </c>
    </row>
    <row r="67" spans="1:17">
      <c r="A67" t="s">
        <v>56</v>
      </c>
      <c r="B67" s="2">
        <v>45689</v>
      </c>
      <c r="C67" t="s">
        <v>24</v>
      </c>
      <c r="D67" t="s">
        <v>16</v>
      </c>
      <c r="E67">
        <v>75109.67</v>
      </c>
      <c r="F67">
        <v>6244</v>
      </c>
      <c r="G67">
        <v>7.9000000000000001E-2</v>
      </c>
      <c r="H67">
        <v>15</v>
      </c>
      <c r="I67">
        <v>96.3</v>
      </c>
      <c r="J67">
        <v>7.38</v>
      </c>
      <c r="K67">
        <v>0</v>
      </c>
      <c r="L67">
        <v>3.7</v>
      </c>
      <c r="M67">
        <v>743348.84</v>
      </c>
      <c r="N67">
        <v>104186.09</v>
      </c>
      <c r="O67">
        <f t="shared" si="3"/>
        <v>0</v>
      </c>
      <c r="P67">
        <f t="shared" ref="P67:P130" si="5">IF(D67="Mall",1,0)</f>
        <v>0</v>
      </c>
      <c r="Q67">
        <f t="shared" si="4"/>
        <v>0</v>
      </c>
    </row>
    <row r="68" spans="1:17">
      <c r="A68" t="s">
        <v>100</v>
      </c>
      <c r="B68" s="2">
        <v>45748</v>
      </c>
      <c r="C68" t="s">
        <v>20</v>
      </c>
      <c r="D68" t="s">
        <v>16</v>
      </c>
      <c r="E68">
        <v>66456.28</v>
      </c>
      <c r="F68">
        <v>9967</v>
      </c>
      <c r="G68">
        <v>0.108</v>
      </c>
      <c r="H68">
        <v>20</v>
      </c>
      <c r="I68">
        <v>94.7</v>
      </c>
      <c r="J68">
        <v>4.4800000000000004</v>
      </c>
      <c r="K68">
        <v>0</v>
      </c>
      <c r="L68">
        <v>4.2</v>
      </c>
      <c r="M68">
        <v>844710.67</v>
      </c>
      <c r="N68">
        <v>137140.18</v>
      </c>
      <c r="O68">
        <f t="shared" si="3"/>
        <v>0</v>
      </c>
      <c r="P68">
        <f t="shared" si="5"/>
        <v>0</v>
      </c>
      <c r="Q68">
        <f t="shared" si="4"/>
        <v>0</v>
      </c>
    </row>
    <row r="69" spans="1:17">
      <c r="A69" t="s">
        <v>37</v>
      </c>
      <c r="B69" s="2">
        <v>45748</v>
      </c>
      <c r="C69" t="s">
        <v>24</v>
      </c>
      <c r="D69" t="s">
        <v>18</v>
      </c>
      <c r="E69">
        <v>74954.47</v>
      </c>
      <c r="F69">
        <v>6620</v>
      </c>
      <c r="G69">
        <v>5.3999999999999999E-2</v>
      </c>
      <c r="H69">
        <v>17</v>
      </c>
      <c r="I69">
        <v>91.1</v>
      </c>
      <c r="J69">
        <v>1.1100000000000001</v>
      </c>
      <c r="K69">
        <v>0</v>
      </c>
      <c r="L69">
        <v>3.5</v>
      </c>
      <c r="M69">
        <v>761860.19</v>
      </c>
      <c r="N69">
        <v>133279.38</v>
      </c>
      <c r="O69">
        <f t="shared" si="3"/>
        <v>1</v>
      </c>
      <c r="P69">
        <f t="shared" si="5"/>
        <v>0</v>
      </c>
      <c r="Q69">
        <f t="shared" si="4"/>
        <v>0</v>
      </c>
    </row>
    <row r="70" spans="1:17">
      <c r="A70" t="s">
        <v>34</v>
      </c>
      <c r="B70" s="2">
        <v>45689</v>
      </c>
      <c r="C70" t="s">
        <v>20</v>
      </c>
      <c r="D70" t="s">
        <v>28</v>
      </c>
      <c r="E70">
        <v>49710.29</v>
      </c>
      <c r="F70">
        <v>5559</v>
      </c>
      <c r="G70">
        <v>0.218</v>
      </c>
      <c r="H70">
        <v>14</v>
      </c>
      <c r="I70">
        <v>71</v>
      </c>
      <c r="J70">
        <v>9.11</v>
      </c>
      <c r="K70">
        <v>0</v>
      </c>
      <c r="L70">
        <v>4.5999999999999996</v>
      </c>
      <c r="M70">
        <v>603297.56999999995</v>
      </c>
      <c r="N70">
        <v>60592.26</v>
      </c>
      <c r="O70">
        <f t="shared" si="3"/>
        <v>0</v>
      </c>
      <c r="P70">
        <f t="shared" si="5"/>
        <v>1</v>
      </c>
      <c r="Q70">
        <f t="shared" si="4"/>
        <v>0</v>
      </c>
    </row>
    <row r="71" spans="1:17">
      <c r="A71" t="s">
        <v>49</v>
      </c>
      <c r="B71" s="2">
        <v>45689</v>
      </c>
      <c r="C71" t="s">
        <v>15</v>
      </c>
      <c r="D71" t="s">
        <v>28</v>
      </c>
      <c r="E71">
        <v>69411.7</v>
      </c>
      <c r="F71">
        <v>5493</v>
      </c>
      <c r="G71">
        <v>0.29199999999999998</v>
      </c>
      <c r="H71">
        <v>13</v>
      </c>
      <c r="I71">
        <v>86.5</v>
      </c>
      <c r="J71">
        <v>6.69</v>
      </c>
      <c r="K71">
        <v>0</v>
      </c>
      <c r="L71">
        <v>3.8</v>
      </c>
      <c r="M71">
        <v>664162.49</v>
      </c>
      <c r="N71">
        <v>98291.06</v>
      </c>
      <c r="O71">
        <f t="shared" si="3"/>
        <v>0</v>
      </c>
      <c r="P71">
        <f t="shared" si="5"/>
        <v>1</v>
      </c>
      <c r="Q71">
        <f t="shared" si="4"/>
        <v>0</v>
      </c>
    </row>
    <row r="72" spans="1:17">
      <c r="A72" t="s">
        <v>78</v>
      </c>
      <c r="B72" s="2">
        <v>45748</v>
      </c>
      <c r="C72" t="s">
        <v>15</v>
      </c>
      <c r="D72" t="s">
        <v>28</v>
      </c>
      <c r="E72">
        <v>39341.449999999997</v>
      </c>
      <c r="F72">
        <v>1375</v>
      </c>
      <c r="G72">
        <v>9.2999999999999999E-2</v>
      </c>
      <c r="H72">
        <v>5</v>
      </c>
      <c r="I72">
        <v>95</v>
      </c>
      <c r="J72">
        <v>5.32</v>
      </c>
      <c r="K72">
        <v>0</v>
      </c>
      <c r="M72">
        <v>529598.93999999994</v>
      </c>
      <c r="N72">
        <v>84334.33</v>
      </c>
      <c r="O72">
        <f t="shared" si="3"/>
        <v>0</v>
      </c>
      <c r="P72">
        <f t="shared" si="5"/>
        <v>1</v>
      </c>
      <c r="Q72">
        <f t="shared" si="4"/>
        <v>0</v>
      </c>
    </row>
    <row r="73" spans="1:17">
      <c r="A73" t="s">
        <v>75</v>
      </c>
      <c r="B73" s="2">
        <v>45658</v>
      </c>
      <c r="C73" t="s">
        <v>27</v>
      </c>
      <c r="D73" t="s">
        <v>16</v>
      </c>
      <c r="E73">
        <v>50887.46</v>
      </c>
      <c r="F73">
        <v>9505</v>
      </c>
      <c r="G73">
        <v>9.0999999999999998E-2</v>
      </c>
      <c r="H73">
        <v>25</v>
      </c>
      <c r="I73">
        <v>89.7</v>
      </c>
      <c r="J73">
        <v>2.8</v>
      </c>
      <c r="K73">
        <v>0</v>
      </c>
      <c r="L73">
        <v>4.3</v>
      </c>
      <c r="M73">
        <v>812152.6</v>
      </c>
      <c r="N73">
        <v>138419.43</v>
      </c>
      <c r="O73">
        <f t="shared" si="3"/>
        <v>0</v>
      </c>
      <c r="P73">
        <f t="shared" si="5"/>
        <v>0</v>
      </c>
      <c r="Q73">
        <f t="shared" si="4"/>
        <v>0</v>
      </c>
    </row>
    <row r="74" spans="1:17">
      <c r="A74" t="s">
        <v>34</v>
      </c>
      <c r="B74" s="2">
        <v>45717</v>
      </c>
      <c r="C74" t="s">
        <v>20</v>
      </c>
      <c r="D74" t="s">
        <v>28</v>
      </c>
      <c r="E74">
        <v>48287.85</v>
      </c>
      <c r="F74">
        <v>5150</v>
      </c>
      <c r="G74">
        <v>8.0000000000000002E-3</v>
      </c>
      <c r="H74">
        <v>12</v>
      </c>
      <c r="I74">
        <v>80.400000000000006</v>
      </c>
      <c r="J74">
        <v>7.4</v>
      </c>
      <c r="K74">
        <v>0</v>
      </c>
      <c r="L74">
        <v>4.5</v>
      </c>
      <c r="M74">
        <v>625672.86</v>
      </c>
      <c r="N74">
        <v>118020.12</v>
      </c>
      <c r="O74">
        <f t="shared" si="3"/>
        <v>0</v>
      </c>
      <c r="P74">
        <f t="shared" si="5"/>
        <v>1</v>
      </c>
      <c r="Q74">
        <f t="shared" si="4"/>
        <v>0</v>
      </c>
    </row>
    <row r="75" spans="1:17">
      <c r="A75" t="s">
        <v>91</v>
      </c>
      <c r="B75" s="2">
        <v>45689</v>
      </c>
      <c r="C75" t="s">
        <v>24</v>
      </c>
      <c r="D75" t="s">
        <v>16</v>
      </c>
      <c r="E75">
        <v>36832.33</v>
      </c>
      <c r="F75">
        <v>8001</v>
      </c>
      <c r="G75">
        <v>0</v>
      </c>
      <c r="H75">
        <v>19</v>
      </c>
      <c r="I75">
        <v>88.7</v>
      </c>
      <c r="J75">
        <v>3.39</v>
      </c>
      <c r="K75">
        <v>0</v>
      </c>
      <c r="L75">
        <v>4</v>
      </c>
      <c r="M75">
        <v>738548.42</v>
      </c>
      <c r="N75">
        <v>134282.76999999999</v>
      </c>
      <c r="O75">
        <f t="shared" si="3"/>
        <v>0</v>
      </c>
      <c r="P75">
        <f t="shared" si="5"/>
        <v>0</v>
      </c>
      <c r="Q75">
        <f t="shared" si="4"/>
        <v>0</v>
      </c>
    </row>
    <row r="76" spans="1:17">
      <c r="A76" t="s">
        <v>56</v>
      </c>
      <c r="B76" s="2">
        <v>45748</v>
      </c>
      <c r="C76" t="s">
        <v>24</v>
      </c>
      <c r="D76" t="s">
        <v>16</v>
      </c>
      <c r="E76">
        <v>44211.95</v>
      </c>
      <c r="F76">
        <v>5465</v>
      </c>
      <c r="G76">
        <v>0.187</v>
      </c>
      <c r="H76">
        <v>12</v>
      </c>
      <c r="I76">
        <v>90</v>
      </c>
      <c r="J76">
        <v>2.89</v>
      </c>
      <c r="K76">
        <v>0</v>
      </c>
      <c r="L76">
        <v>3.6</v>
      </c>
      <c r="M76">
        <v>646559.71</v>
      </c>
      <c r="N76">
        <v>97981.75</v>
      </c>
      <c r="O76">
        <f t="shared" si="3"/>
        <v>0</v>
      </c>
      <c r="P76">
        <f t="shared" si="5"/>
        <v>0</v>
      </c>
      <c r="Q76">
        <f t="shared" si="4"/>
        <v>0</v>
      </c>
    </row>
    <row r="77" spans="1:17">
      <c r="A77" t="s">
        <v>26</v>
      </c>
      <c r="B77" s="2">
        <v>45748</v>
      </c>
      <c r="C77" t="s">
        <v>27</v>
      </c>
      <c r="D77" t="s">
        <v>28</v>
      </c>
      <c r="E77">
        <v>52715.1</v>
      </c>
      <c r="F77">
        <v>7223</v>
      </c>
      <c r="G77">
        <v>0.122</v>
      </c>
      <c r="H77">
        <v>16</v>
      </c>
      <c r="I77">
        <v>84.2</v>
      </c>
      <c r="J77">
        <v>16.149999999999999</v>
      </c>
      <c r="K77">
        <v>0</v>
      </c>
      <c r="L77">
        <v>3.7</v>
      </c>
      <c r="M77">
        <v>701641.97</v>
      </c>
      <c r="N77">
        <v>106111.86</v>
      </c>
      <c r="O77">
        <f t="shared" si="3"/>
        <v>0</v>
      </c>
      <c r="P77">
        <f t="shared" si="5"/>
        <v>1</v>
      </c>
      <c r="Q77">
        <f t="shared" si="4"/>
        <v>0</v>
      </c>
    </row>
    <row r="78" spans="1:17">
      <c r="A78" t="s">
        <v>59</v>
      </c>
      <c r="B78" s="2">
        <v>45689</v>
      </c>
      <c r="C78" t="s">
        <v>24</v>
      </c>
      <c r="D78" t="s">
        <v>28</v>
      </c>
      <c r="E78">
        <v>43319.94</v>
      </c>
      <c r="F78">
        <v>6551</v>
      </c>
      <c r="G78">
        <v>4.3999999999999997E-2</v>
      </c>
      <c r="H78">
        <v>13</v>
      </c>
      <c r="I78">
        <v>99</v>
      </c>
      <c r="J78">
        <v>5.45</v>
      </c>
      <c r="K78">
        <v>0</v>
      </c>
      <c r="L78">
        <v>4.0999999999999996</v>
      </c>
      <c r="M78">
        <v>712868.35</v>
      </c>
      <c r="N78">
        <v>133650.51</v>
      </c>
      <c r="O78">
        <f t="shared" si="3"/>
        <v>0</v>
      </c>
      <c r="P78">
        <f t="shared" si="5"/>
        <v>1</v>
      </c>
      <c r="Q78">
        <f t="shared" si="4"/>
        <v>0</v>
      </c>
    </row>
    <row r="79" spans="1:17">
      <c r="A79" t="s">
        <v>81</v>
      </c>
      <c r="B79" s="2">
        <v>45748</v>
      </c>
      <c r="C79" t="s">
        <v>27</v>
      </c>
      <c r="D79" t="s">
        <v>28</v>
      </c>
      <c r="E79">
        <v>26248.1</v>
      </c>
      <c r="F79">
        <v>9314</v>
      </c>
      <c r="G79">
        <v>0.186</v>
      </c>
      <c r="H79">
        <v>21</v>
      </c>
      <c r="I79">
        <v>83.7</v>
      </c>
      <c r="J79">
        <v>4.62</v>
      </c>
      <c r="K79">
        <v>0</v>
      </c>
      <c r="L79">
        <v>3.3</v>
      </c>
      <c r="M79">
        <v>737070.18</v>
      </c>
      <c r="N79">
        <v>117593.97</v>
      </c>
      <c r="O79">
        <f t="shared" si="3"/>
        <v>0</v>
      </c>
      <c r="P79">
        <f t="shared" si="5"/>
        <v>1</v>
      </c>
      <c r="Q79">
        <f t="shared" si="4"/>
        <v>0</v>
      </c>
    </row>
    <row r="80" spans="1:17">
      <c r="A80" t="s">
        <v>49</v>
      </c>
      <c r="B80" s="2">
        <v>45658</v>
      </c>
      <c r="C80" t="s">
        <v>15</v>
      </c>
      <c r="D80" t="s">
        <v>28</v>
      </c>
      <c r="E80">
        <v>75265.02</v>
      </c>
      <c r="F80">
        <v>6975</v>
      </c>
      <c r="G80">
        <v>0.157</v>
      </c>
      <c r="H80">
        <v>20</v>
      </c>
      <c r="I80">
        <v>73.8</v>
      </c>
      <c r="J80">
        <v>6.35</v>
      </c>
      <c r="K80">
        <v>1</v>
      </c>
      <c r="L80">
        <v>3.8</v>
      </c>
      <c r="M80">
        <v>709478.39</v>
      </c>
      <c r="N80">
        <v>71294.27</v>
      </c>
      <c r="O80">
        <f t="shared" si="3"/>
        <v>0</v>
      </c>
      <c r="P80">
        <f t="shared" si="5"/>
        <v>1</v>
      </c>
      <c r="Q80">
        <f t="shared" si="4"/>
        <v>0</v>
      </c>
    </row>
    <row r="81" spans="1:17">
      <c r="A81" t="s">
        <v>94</v>
      </c>
      <c r="B81" s="2">
        <v>45658</v>
      </c>
      <c r="C81" t="s">
        <v>15</v>
      </c>
      <c r="D81" t="s">
        <v>16</v>
      </c>
      <c r="E81">
        <v>70012.41</v>
      </c>
      <c r="F81">
        <v>8484</v>
      </c>
      <c r="G81">
        <v>0.27300000000000002</v>
      </c>
      <c r="H81">
        <v>23</v>
      </c>
      <c r="I81">
        <v>72.900000000000006</v>
      </c>
      <c r="J81">
        <v>3.34</v>
      </c>
      <c r="K81">
        <v>0</v>
      </c>
      <c r="L81">
        <v>3.7</v>
      </c>
      <c r="M81">
        <v>729424.42</v>
      </c>
      <c r="N81">
        <v>75592.28</v>
      </c>
      <c r="O81">
        <f t="shared" si="3"/>
        <v>0</v>
      </c>
      <c r="P81">
        <f t="shared" si="5"/>
        <v>0</v>
      </c>
      <c r="Q81">
        <f t="shared" si="4"/>
        <v>0</v>
      </c>
    </row>
    <row r="82" spans="1:17">
      <c r="A82" t="s">
        <v>86</v>
      </c>
      <c r="B82" s="2">
        <v>45717</v>
      </c>
      <c r="C82" t="s">
        <v>24</v>
      </c>
      <c r="D82" t="s">
        <v>28</v>
      </c>
      <c r="E82">
        <v>44189.34</v>
      </c>
      <c r="F82">
        <v>8634</v>
      </c>
      <c r="G82">
        <v>0.14299999999999999</v>
      </c>
      <c r="H82">
        <v>19</v>
      </c>
      <c r="I82">
        <v>87.5</v>
      </c>
      <c r="J82">
        <v>3.69</v>
      </c>
      <c r="K82">
        <v>0</v>
      </c>
      <c r="L82">
        <v>4.4000000000000004</v>
      </c>
      <c r="M82">
        <v>746115.59</v>
      </c>
      <c r="N82">
        <v>94662.96</v>
      </c>
      <c r="O82">
        <f t="shared" si="3"/>
        <v>0</v>
      </c>
      <c r="P82">
        <f t="shared" si="5"/>
        <v>1</v>
      </c>
      <c r="Q82">
        <f t="shared" si="4"/>
        <v>0</v>
      </c>
    </row>
    <row r="83" spans="1:17">
      <c r="A83" t="s">
        <v>32</v>
      </c>
      <c r="B83" s="2">
        <v>45689</v>
      </c>
      <c r="C83" t="s">
        <v>15</v>
      </c>
      <c r="D83" t="s">
        <v>28</v>
      </c>
      <c r="E83">
        <v>46123.88</v>
      </c>
      <c r="F83">
        <v>3227</v>
      </c>
      <c r="G83">
        <v>0.14299999999999999</v>
      </c>
      <c r="H83">
        <v>10</v>
      </c>
      <c r="I83">
        <v>75.400000000000006</v>
      </c>
      <c r="J83">
        <v>1.06</v>
      </c>
      <c r="K83">
        <v>0</v>
      </c>
      <c r="L83">
        <v>4.4000000000000004</v>
      </c>
      <c r="M83">
        <v>532644.46</v>
      </c>
      <c r="N83">
        <v>60681.32</v>
      </c>
      <c r="O83">
        <f t="shared" si="3"/>
        <v>0</v>
      </c>
      <c r="P83">
        <f t="shared" si="5"/>
        <v>1</v>
      </c>
      <c r="Q83">
        <f t="shared" si="4"/>
        <v>0</v>
      </c>
    </row>
    <row r="84" spans="1:17">
      <c r="A84" t="s">
        <v>76</v>
      </c>
      <c r="B84" s="2">
        <v>45717</v>
      </c>
      <c r="C84" t="s">
        <v>20</v>
      </c>
      <c r="D84" t="s">
        <v>21</v>
      </c>
      <c r="E84">
        <v>58785.33</v>
      </c>
      <c r="F84">
        <v>4467</v>
      </c>
      <c r="G84">
        <v>0.22900000000000001</v>
      </c>
      <c r="H84">
        <v>14</v>
      </c>
      <c r="I84">
        <v>90.7</v>
      </c>
      <c r="J84">
        <v>1.92</v>
      </c>
      <c r="K84">
        <v>0</v>
      </c>
      <c r="L84">
        <v>3.7</v>
      </c>
      <c r="M84">
        <v>673348.56</v>
      </c>
      <c r="N84">
        <v>69464.59</v>
      </c>
      <c r="O84">
        <f t="shared" si="3"/>
        <v>0</v>
      </c>
      <c r="P84">
        <f t="shared" si="5"/>
        <v>0</v>
      </c>
      <c r="Q84">
        <f t="shared" si="4"/>
        <v>1</v>
      </c>
    </row>
    <row r="85" spans="1:17">
      <c r="A85" t="s">
        <v>39</v>
      </c>
      <c r="B85" s="2">
        <v>45748</v>
      </c>
      <c r="C85" t="s">
        <v>15</v>
      </c>
      <c r="D85" t="s">
        <v>18</v>
      </c>
      <c r="E85">
        <v>55081.16</v>
      </c>
      <c r="F85">
        <v>5485</v>
      </c>
      <c r="G85">
        <v>3.5999999999999997E-2</v>
      </c>
      <c r="H85">
        <v>12</v>
      </c>
      <c r="I85">
        <v>88</v>
      </c>
      <c r="K85">
        <v>0</v>
      </c>
      <c r="L85">
        <v>3.5</v>
      </c>
      <c r="M85">
        <v>674774.09</v>
      </c>
      <c r="N85">
        <v>141917.59</v>
      </c>
      <c r="O85">
        <f t="shared" si="3"/>
        <v>1</v>
      </c>
      <c r="P85">
        <f t="shared" si="5"/>
        <v>0</v>
      </c>
      <c r="Q85">
        <f t="shared" si="4"/>
        <v>0</v>
      </c>
    </row>
    <row r="86" spans="1:17">
      <c r="A86" t="s">
        <v>22</v>
      </c>
      <c r="B86" s="2">
        <v>45658</v>
      </c>
      <c r="C86" t="s">
        <v>15</v>
      </c>
      <c r="D86" t="s">
        <v>16</v>
      </c>
      <c r="E86">
        <v>71828.259999999995</v>
      </c>
      <c r="F86">
        <v>12775</v>
      </c>
      <c r="G86">
        <v>0.11600000000000001</v>
      </c>
      <c r="H86">
        <v>30</v>
      </c>
      <c r="I86">
        <v>81.7</v>
      </c>
      <c r="J86">
        <v>4.24</v>
      </c>
      <c r="K86">
        <v>1</v>
      </c>
      <c r="L86">
        <v>4.2</v>
      </c>
      <c r="M86">
        <v>922168.6</v>
      </c>
      <c r="N86">
        <v>107494.53</v>
      </c>
      <c r="O86">
        <f t="shared" si="3"/>
        <v>0</v>
      </c>
      <c r="P86">
        <f t="shared" si="5"/>
        <v>0</v>
      </c>
      <c r="Q86">
        <f t="shared" si="4"/>
        <v>0</v>
      </c>
    </row>
    <row r="87" spans="1:17">
      <c r="A87" t="s">
        <v>88</v>
      </c>
      <c r="B87" s="2">
        <v>45748</v>
      </c>
      <c r="C87" t="s">
        <v>15</v>
      </c>
      <c r="D87" t="s">
        <v>18</v>
      </c>
      <c r="E87">
        <v>67722.289999999994</v>
      </c>
      <c r="F87">
        <v>7240</v>
      </c>
      <c r="G87">
        <v>2.5999999999999999E-2</v>
      </c>
      <c r="H87">
        <v>15</v>
      </c>
      <c r="I87">
        <v>92.9</v>
      </c>
      <c r="J87">
        <v>0.28999999999999998</v>
      </c>
      <c r="K87">
        <v>0</v>
      </c>
      <c r="L87">
        <v>3.5</v>
      </c>
      <c r="M87">
        <v>762328.31</v>
      </c>
      <c r="N87">
        <v>159158.19</v>
      </c>
      <c r="O87">
        <f t="shared" si="3"/>
        <v>1</v>
      </c>
      <c r="P87">
        <f t="shared" si="5"/>
        <v>0</v>
      </c>
      <c r="Q87">
        <f t="shared" si="4"/>
        <v>0</v>
      </c>
    </row>
    <row r="88" spans="1:17">
      <c r="A88" t="s">
        <v>57</v>
      </c>
      <c r="B88" s="2">
        <v>45717</v>
      </c>
      <c r="C88" t="s">
        <v>27</v>
      </c>
      <c r="D88" t="s">
        <v>18</v>
      </c>
      <c r="E88">
        <v>44034.6</v>
      </c>
      <c r="F88">
        <v>5645</v>
      </c>
      <c r="G88">
        <v>6.9000000000000006E-2</v>
      </c>
      <c r="H88">
        <v>18</v>
      </c>
      <c r="I88">
        <v>88.5</v>
      </c>
      <c r="J88">
        <v>3.07</v>
      </c>
      <c r="K88">
        <v>0</v>
      </c>
      <c r="L88">
        <v>3.8</v>
      </c>
      <c r="M88">
        <v>682639.28</v>
      </c>
      <c r="N88">
        <v>77557.53</v>
      </c>
      <c r="O88">
        <f t="shared" si="3"/>
        <v>1</v>
      </c>
      <c r="P88">
        <f t="shared" si="5"/>
        <v>0</v>
      </c>
      <c r="Q88">
        <f t="shared" si="4"/>
        <v>0</v>
      </c>
    </row>
    <row r="89" spans="1:17">
      <c r="A89" t="s">
        <v>19</v>
      </c>
      <c r="B89" s="2">
        <v>45748</v>
      </c>
      <c r="C89" t="s">
        <v>20</v>
      </c>
      <c r="D89" t="s">
        <v>21</v>
      </c>
      <c r="E89">
        <v>67979.88</v>
      </c>
      <c r="F89">
        <v>11230</v>
      </c>
      <c r="G89">
        <v>2E-3</v>
      </c>
      <c r="H89">
        <v>28</v>
      </c>
      <c r="I89">
        <v>85.3</v>
      </c>
      <c r="J89">
        <v>7.16</v>
      </c>
      <c r="K89">
        <v>0</v>
      </c>
      <c r="L89">
        <v>3.8</v>
      </c>
      <c r="M89">
        <v>910791.94</v>
      </c>
      <c r="N89">
        <v>158891.28</v>
      </c>
      <c r="O89">
        <f t="shared" si="3"/>
        <v>0</v>
      </c>
      <c r="P89">
        <f t="shared" si="5"/>
        <v>0</v>
      </c>
      <c r="Q89">
        <f t="shared" si="4"/>
        <v>1</v>
      </c>
    </row>
    <row r="90" spans="1:17">
      <c r="A90" t="s">
        <v>40</v>
      </c>
      <c r="B90" s="2">
        <v>45658</v>
      </c>
      <c r="C90" t="s">
        <v>15</v>
      </c>
      <c r="D90" t="s">
        <v>16</v>
      </c>
      <c r="E90">
        <v>46201.46</v>
      </c>
      <c r="F90">
        <v>5918</v>
      </c>
      <c r="G90">
        <v>0.27700000000000002</v>
      </c>
      <c r="H90">
        <v>13</v>
      </c>
      <c r="I90">
        <v>78.8</v>
      </c>
      <c r="J90">
        <v>4.91</v>
      </c>
      <c r="K90">
        <v>0</v>
      </c>
      <c r="L90">
        <v>4.5</v>
      </c>
      <c r="M90">
        <v>616069.41</v>
      </c>
      <c r="N90">
        <v>54453.99</v>
      </c>
      <c r="O90">
        <f t="shared" si="3"/>
        <v>0</v>
      </c>
      <c r="P90">
        <f t="shared" si="5"/>
        <v>0</v>
      </c>
      <c r="Q90">
        <f t="shared" si="4"/>
        <v>0</v>
      </c>
    </row>
    <row r="91" spans="1:17">
      <c r="A91" t="s">
        <v>91</v>
      </c>
      <c r="B91" s="2">
        <v>45717</v>
      </c>
      <c r="C91" t="s">
        <v>24</v>
      </c>
      <c r="D91" t="s">
        <v>16</v>
      </c>
      <c r="E91">
        <v>48609.41</v>
      </c>
      <c r="F91">
        <v>9324</v>
      </c>
      <c r="G91">
        <v>0.21299999999999999</v>
      </c>
      <c r="H91">
        <v>18</v>
      </c>
      <c r="I91">
        <v>86.5</v>
      </c>
      <c r="J91">
        <v>1.44</v>
      </c>
      <c r="K91">
        <v>0</v>
      </c>
      <c r="L91">
        <v>3.9</v>
      </c>
      <c r="M91">
        <v>756619.77</v>
      </c>
      <c r="N91">
        <v>112057.69</v>
      </c>
      <c r="O91">
        <f t="shared" si="3"/>
        <v>0</v>
      </c>
      <c r="P91">
        <f t="shared" si="5"/>
        <v>0</v>
      </c>
      <c r="Q91">
        <f t="shared" si="4"/>
        <v>0</v>
      </c>
    </row>
    <row r="92" spans="1:17">
      <c r="A92" t="s">
        <v>63</v>
      </c>
      <c r="B92" s="2">
        <v>45748</v>
      </c>
      <c r="C92" t="s">
        <v>20</v>
      </c>
      <c r="D92" t="s">
        <v>28</v>
      </c>
      <c r="E92">
        <v>78432.14</v>
      </c>
      <c r="F92">
        <v>9440</v>
      </c>
      <c r="G92">
        <v>0.126</v>
      </c>
      <c r="H92">
        <v>23</v>
      </c>
      <c r="I92">
        <v>89.2</v>
      </c>
      <c r="J92">
        <v>7.86</v>
      </c>
      <c r="K92">
        <v>0</v>
      </c>
      <c r="L92">
        <v>4.0999999999999996</v>
      </c>
      <c r="M92">
        <v>820729.29</v>
      </c>
      <c r="N92">
        <v>159325.47</v>
      </c>
      <c r="O92">
        <f t="shared" si="3"/>
        <v>0</v>
      </c>
      <c r="P92">
        <f t="shared" si="5"/>
        <v>1</v>
      </c>
      <c r="Q92">
        <f t="shared" si="4"/>
        <v>0</v>
      </c>
    </row>
    <row r="93" spans="1:17">
      <c r="A93" t="s">
        <v>85</v>
      </c>
      <c r="B93" s="2">
        <v>45717</v>
      </c>
      <c r="C93" t="s">
        <v>24</v>
      </c>
      <c r="D93" t="s">
        <v>21</v>
      </c>
      <c r="E93">
        <v>75412.740000000005</v>
      </c>
      <c r="F93">
        <v>5641</v>
      </c>
      <c r="G93">
        <v>5.8999999999999997E-2</v>
      </c>
      <c r="H93">
        <v>13</v>
      </c>
      <c r="I93">
        <v>87.9</v>
      </c>
      <c r="J93">
        <v>0.84</v>
      </c>
      <c r="K93">
        <v>0</v>
      </c>
      <c r="L93">
        <v>3.6</v>
      </c>
      <c r="M93">
        <v>720079.54</v>
      </c>
      <c r="N93">
        <v>119499.47</v>
      </c>
      <c r="O93">
        <f t="shared" si="3"/>
        <v>0</v>
      </c>
      <c r="P93">
        <f t="shared" si="5"/>
        <v>0</v>
      </c>
      <c r="Q93">
        <f t="shared" si="4"/>
        <v>1</v>
      </c>
    </row>
    <row r="94" spans="1:17">
      <c r="A94" t="s">
        <v>75</v>
      </c>
      <c r="B94" s="2">
        <v>45748</v>
      </c>
      <c r="C94" t="s">
        <v>27</v>
      </c>
      <c r="D94" t="s">
        <v>16</v>
      </c>
      <c r="E94">
        <v>47391.09</v>
      </c>
      <c r="F94">
        <v>11224</v>
      </c>
      <c r="G94">
        <v>0.14699999999999999</v>
      </c>
      <c r="H94">
        <v>25</v>
      </c>
      <c r="I94">
        <v>88.4</v>
      </c>
      <c r="J94">
        <v>2.44</v>
      </c>
      <c r="K94">
        <v>0</v>
      </c>
      <c r="L94">
        <v>4.9000000000000004</v>
      </c>
      <c r="M94">
        <v>836908.24</v>
      </c>
      <c r="N94">
        <v>141090.26</v>
      </c>
      <c r="O94">
        <f t="shared" si="3"/>
        <v>0</v>
      </c>
      <c r="P94">
        <f t="shared" si="5"/>
        <v>0</v>
      </c>
      <c r="Q94">
        <f t="shared" si="4"/>
        <v>0</v>
      </c>
    </row>
    <row r="95" spans="1:17">
      <c r="A95" t="s">
        <v>32</v>
      </c>
      <c r="B95" s="2">
        <v>45658</v>
      </c>
      <c r="C95" t="s">
        <v>15</v>
      </c>
      <c r="D95" t="s">
        <v>28</v>
      </c>
      <c r="E95">
        <v>40462.94</v>
      </c>
      <c r="F95">
        <v>3660</v>
      </c>
      <c r="G95">
        <v>0.218</v>
      </c>
      <c r="H95">
        <v>11</v>
      </c>
      <c r="I95">
        <v>95.2</v>
      </c>
      <c r="J95">
        <v>5.57</v>
      </c>
      <c r="K95">
        <v>0</v>
      </c>
      <c r="L95">
        <v>4.4000000000000004</v>
      </c>
      <c r="M95">
        <v>592195.85</v>
      </c>
      <c r="N95">
        <v>92291.56</v>
      </c>
      <c r="O95">
        <f t="shared" si="3"/>
        <v>0</v>
      </c>
      <c r="P95">
        <f t="shared" si="5"/>
        <v>1</v>
      </c>
      <c r="Q95">
        <f t="shared" si="4"/>
        <v>0</v>
      </c>
    </row>
    <row r="96" spans="1:17">
      <c r="A96" t="s">
        <v>78</v>
      </c>
      <c r="B96" s="2">
        <v>45658</v>
      </c>
      <c r="C96" t="s">
        <v>15</v>
      </c>
      <c r="D96" t="s">
        <v>28</v>
      </c>
      <c r="E96">
        <v>68212.289999999994</v>
      </c>
      <c r="F96">
        <v>4713</v>
      </c>
      <c r="G96">
        <v>0.19800000000000001</v>
      </c>
      <c r="H96">
        <v>15</v>
      </c>
      <c r="I96">
        <v>82.6</v>
      </c>
      <c r="J96">
        <v>4.07</v>
      </c>
      <c r="K96">
        <v>1</v>
      </c>
      <c r="L96">
        <v>3</v>
      </c>
      <c r="M96">
        <v>641564.6</v>
      </c>
      <c r="N96">
        <v>90468.96</v>
      </c>
      <c r="O96">
        <f t="shared" si="3"/>
        <v>0</v>
      </c>
      <c r="P96">
        <f t="shared" si="5"/>
        <v>1</v>
      </c>
      <c r="Q96">
        <f t="shared" si="4"/>
        <v>0</v>
      </c>
    </row>
    <row r="97" spans="1:17">
      <c r="A97" t="s">
        <v>33</v>
      </c>
      <c r="B97" s="2">
        <v>45717</v>
      </c>
      <c r="C97" t="s">
        <v>27</v>
      </c>
      <c r="D97" t="s">
        <v>16</v>
      </c>
      <c r="E97">
        <v>50043.65</v>
      </c>
      <c r="F97">
        <v>3804</v>
      </c>
      <c r="G97">
        <v>0.113</v>
      </c>
      <c r="H97">
        <v>11</v>
      </c>
      <c r="I97">
        <v>90.9</v>
      </c>
      <c r="J97">
        <v>2.7</v>
      </c>
      <c r="K97">
        <v>1</v>
      </c>
      <c r="L97">
        <v>3.2</v>
      </c>
      <c r="M97">
        <v>614800.09</v>
      </c>
      <c r="N97">
        <v>100044.2</v>
      </c>
      <c r="O97">
        <f t="shared" si="3"/>
        <v>0</v>
      </c>
      <c r="P97">
        <f t="shared" si="5"/>
        <v>0</v>
      </c>
      <c r="Q97">
        <f t="shared" si="4"/>
        <v>0</v>
      </c>
    </row>
    <row r="98" spans="1:17">
      <c r="A98" t="s">
        <v>88</v>
      </c>
      <c r="B98" s="2">
        <v>45689</v>
      </c>
      <c r="C98" t="s">
        <v>15</v>
      </c>
      <c r="D98" t="s">
        <v>18</v>
      </c>
      <c r="E98">
        <v>73454.539999999994</v>
      </c>
      <c r="F98">
        <v>8129</v>
      </c>
      <c r="G98">
        <v>0.21099999999999999</v>
      </c>
      <c r="H98">
        <v>20</v>
      </c>
      <c r="I98">
        <v>85.2</v>
      </c>
      <c r="J98">
        <v>0.88</v>
      </c>
      <c r="K98">
        <v>0</v>
      </c>
      <c r="L98">
        <v>3.7</v>
      </c>
      <c r="M98">
        <v>767792.94</v>
      </c>
      <c r="N98">
        <v>96235.77</v>
      </c>
      <c r="O98">
        <f t="shared" si="3"/>
        <v>1</v>
      </c>
      <c r="P98">
        <f t="shared" si="5"/>
        <v>0</v>
      </c>
      <c r="Q98">
        <f t="shared" si="4"/>
        <v>0</v>
      </c>
    </row>
    <row r="99" spans="1:17">
      <c r="A99" t="s">
        <v>22</v>
      </c>
      <c r="B99" s="2">
        <v>45748</v>
      </c>
      <c r="C99" t="s">
        <v>15</v>
      </c>
      <c r="D99" t="s">
        <v>16</v>
      </c>
      <c r="E99">
        <v>75305.710000000006</v>
      </c>
      <c r="F99">
        <v>10940</v>
      </c>
      <c r="G99">
        <v>6.0000000000000001E-3</v>
      </c>
      <c r="H99">
        <v>26</v>
      </c>
      <c r="I99">
        <v>76.5</v>
      </c>
      <c r="J99">
        <v>1.32</v>
      </c>
      <c r="K99">
        <v>0</v>
      </c>
      <c r="L99">
        <v>4.5</v>
      </c>
      <c r="M99">
        <v>834017.02</v>
      </c>
      <c r="N99">
        <v>114745.03</v>
      </c>
      <c r="O99">
        <f t="shared" si="3"/>
        <v>0</v>
      </c>
      <c r="P99">
        <f t="shared" si="5"/>
        <v>0</v>
      </c>
      <c r="Q99">
        <f t="shared" si="4"/>
        <v>0</v>
      </c>
    </row>
    <row r="100" spans="1:17">
      <c r="A100" t="s">
        <v>100</v>
      </c>
      <c r="B100" s="2">
        <v>45658</v>
      </c>
      <c r="C100" t="s">
        <v>20</v>
      </c>
      <c r="D100" t="s">
        <v>16</v>
      </c>
      <c r="E100">
        <v>78967.520000000004</v>
      </c>
      <c r="F100">
        <v>6164</v>
      </c>
      <c r="G100">
        <v>2.1000000000000001E-2</v>
      </c>
      <c r="H100">
        <v>16</v>
      </c>
      <c r="I100">
        <v>85.5</v>
      </c>
      <c r="J100">
        <v>0.2</v>
      </c>
      <c r="K100">
        <v>0</v>
      </c>
      <c r="L100">
        <v>3.4</v>
      </c>
      <c r="M100">
        <v>702052.47</v>
      </c>
      <c r="N100">
        <v>121732.51</v>
      </c>
      <c r="O100">
        <f t="shared" si="3"/>
        <v>0</v>
      </c>
      <c r="P100">
        <f t="shared" si="5"/>
        <v>0</v>
      </c>
      <c r="Q100">
        <f t="shared" si="4"/>
        <v>0</v>
      </c>
    </row>
    <row r="101" spans="1:17">
      <c r="A101" t="s">
        <v>43</v>
      </c>
      <c r="B101" s="2">
        <v>45658</v>
      </c>
      <c r="C101" t="s">
        <v>27</v>
      </c>
      <c r="D101" t="s">
        <v>18</v>
      </c>
      <c r="E101">
        <v>55388.11</v>
      </c>
      <c r="F101">
        <v>3091</v>
      </c>
      <c r="G101">
        <v>0.108</v>
      </c>
      <c r="H101">
        <v>7</v>
      </c>
      <c r="I101">
        <v>85.4</v>
      </c>
      <c r="J101">
        <v>7.34</v>
      </c>
      <c r="K101">
        <v>0</v>
      </c>
      <c r="L101">
        <v>4.9000000000000004</v>
      </c>
      <c r="M101">
        <v>574436.29</v>
      </c>
      <c r="N101">
        <v>80271.990000000005</v>
      </c>
      <c r="O101">
        <f t="shared" si="3"/>
        <v>1</v>
      </c>
      <c r="P101">
        <f t="shared" si="5"/>
        <v>0</v>
      </c>
      <c r="Q101">
        <f t="shared" si="4"/>
        <v>0</v>
      </c>
    </row>
    <row r="102" spans="1:17">
      <c r="A102" t="s">
        <v>69</v>
      </c>
      <c r="B102" s="2">
        <v>45658</v>
      </c>
      <c r="C102" t="s">
        <v>15</v>
      </c>
      <c r="D102" t="s">
        <v>18</v>
      </c>
      <c r="E102">
        <v>71641.899999999994</v>
      </c>
      <c r="F102">
        <v>3506</v>
      </c>
      <c r="G102">
        <v>0</v>
      </c>
      <c r="H102">
        <v>11</v>
      </c>
      <c r="I102">
        <v>86.4</v>
      </c>
      <c r="J102">
        <v>7.77</v>
      </c>
      <c r="K102">
        <v>0</v>
      </c>
      <c r="L102">
        <v>4.0999999999999996</v>
      </c>
      <c r="M102">
        <v>625993.82999999996</v>
      </c>
      <c r="N102">
        <v>98960.320000000007</v>
      </c>
      <c r="O102">
        <f t="shared" si="3"/>
        <v>1</v>
      </c>
      <c r="P102">
        <f t="shared" si="5"/>
        <v>0</v>
      </c>
      <c r="Q102">
        <f t="shared" si="4"/>
        <v>0</v>
      </c>
    </row>
    <row r="103" spans="1:17">
      <c r="A103" t="s">
        <v>84</v>
      </c>
      <c r="B103" s="2">
        <v>45748</v>
      </c>
      <c r="C103" t="s">
        <v>20</v>
      </c>
      <c r="D103" t="s">
        <v>18</v>
      </c>
      <c r="E103">
        <v>97480.94</v>
      </c>
      <c r="F103">
        <v>6840</v>
      </c>
      <c r="G103">
        <v>8.6999999999999994E-2</v>
      </c>
      <c r="H103">
        <v>14</v>
      </c>
      <c r="I103">
        <v>79.2</v>
      </c>
      <c r="J103">
        <v>1.1399999999999999</v>
      </c>
      <c r="K103">
        <v>0</v>
      </c>
      <c r="L103">
        <v>4</v>
      </c>
      <c r="M103">
        <v>729440.45</v>
      </c>
      <c r="N103">
        <v>87614.29</v>
      </c>
      <c r="O103">
        <f t="shared" si="3"/>
        <v>1</v>
      </c>
      <c r="P103">
        <f t="shared" si="5"/>
        <v>0</v>
      </c>
      <c r="Q103">
        <f t="shared" si="4"/>
        <v>0</v>
      </c>
    </row>
    <row r="104" spans="1:17">
      <c r="A104" t="s">
        <v>87</v>
      </c>
      <c r="B104" s="2">
        <v>45748</v>
      </c>
      <c r="C104" t="s">
        <v>27</v>
      </c>
      <c r="D104" t="s">
        <v>18</v>
      </c>
      <c r="E104">
        <v>58688.26</v>
      </c>
      <c r="F104">
        <v>4022</v>
      </c>
      <c r="G104">
        <v>0.217</v>
      </c>
      <c r="H104">
        <v>12</v>
      </c>
      <c r="I104">
        <v>93.8</v>
      </c>
      <c r="J104">
        <v>11.78</v>
      </c>
      <c r="K104">
        <v>0</v>
      </c>
      <c r="L104">
        <v>3.7</v>
      </c>
      <c r="M104">
        <v>636613.23</v>
      </c>
      <c r="N104">
        <v>78908.350000000006</v>
      </c>
      <c r="O104">
        <f t="shared" si="3"/>
        <v>1</v>
      </c>
      <c r="P104">
        <f t="shared" si="5"/>
        <v>0</v>
      </c>
      <c r="Q104">
        <f t="shared" si="4"/>
        <v>0</v>
      </c>
    </row>
    <row r="105" spans="1:17">
      <c r="A105" t="s">
        <v>48</v>
      </c>
      <c r="B105" s="2">
        <v>45658</v>
      </c>
      <c r="C105" t="s">
        <v>27</v>
      </c>
      <c r="D105" t="s">
        <v>18</v>
      </c>
      <c r="E105">
        <v>57919.07</v>
      </c>
      <c r="F105">
        <v>7374</v>
      </c>
      <c r="G105">
        <v>0.10299999999999999</v>
      </c>
      <c r="H105">
        <v>21</v>
      </c>
      <c r="I105">
        <v>82.3</v>
      </c>
      <c r="J105">
        <v>2.87</v>
      </c>
      <c r="K105">
        <v>0</v>
      </c>
      <c r="L105">
        <v>2.9</v>
      </c>
      <c r="M105">
        <v>727227.2</v>
      </c>
      <c r="N105">
        <v>121292.01</v>
      </c>
      <c r="O105">
        <f t="shared" si="3"/>
        <v>1</v>
      </c>
      <c r="P105">
        <f t="shared" si="5"/>
        <v>0</v>
      </c>
      <c r="Q105">
        <f t="shared" si="4"/>
        <v>0</v>
      </c>
    </row>
    <row r="106" spans="1:17">
      <c r="A106" t="s">
        <v>90</v>
      </c>
      <c r="B106" s="2">
        <v>45689</v>
      </c>
      <c r="C106" t="s">
        <v>27</v>
      </c>
      <c r="D106" t="s">
        <v>18</v>
      </c>
      <c r="E106">
        <v>17562.57</v>
      </c>
      <c r="F106">
        <v>3326</v>
      </c>
      <c r="G106">
        <v>0.153</v>
      </c>
      <c r="H106">
        <v>14</v>
      </c>
      <c r="I106">
        <v>88.1</v>
      </c>
      <c r="J106">
        <v>1.04</v>
      </c>
      <c r="K106">
        <v>0</v>
      </c>
      <c r="L106">
        <v>3.1</v>
      </c>
      <c r="M106">
        <v>561597.32999999996</v>
      </c>
      <c r="N106">
        <v>75072.75</v>
      </c>
      <c r="O106">
        <f t="shared" si="3"/>
        <v>1</v>
      </c>
      <c r="P106">
        <f t="shared" si="5"/>
        <v>0</v>
      </c>
      <c r="Q106">
        <f t="shared" si="4"/>
        <v>0</v>
      </c>
    </row>
    <row r="107" spans="1:17">
      <c r="A107" t="s">
        <v>95</v>
      </c>
      <c r="B107" s="2">
        <v>45748</v>
      </c>
      <c r="C107" t="s">
        <v>27</v>
      </c>
      <c r="D107" t="s">
        <v>18</v>
      </c>
      <c r="E107">
        <v>27398.28</v>
      </c>
      <c r="F107">
        <v>1723</v>
      </c>
      <c r="G107">
        <v>0.17100000000000001</v>
      </c>
      <c r="H107">
        <v>9</v>
      </c>
      <c r="I107">
        <v>81</v>
      </c>
      <c r="J107">
        <v>0.74</v>
      </c>
      <c r="K107">
        <v>0</v>
      </c>
      <c r="L107">
        <v>4.5999999999999996</v>
      </c>
      <c r="M107">
        <v>487738.26</v>
      </c>
      <c r="N107">
        <v>96435.6</v>
      </c>
      <c r="O107">
        <f t="shared" si="3"/>
        <v>1</v>
      </c>
      <c r="P107">
        <f t="shared" si="5"/>
        <v>0</v>
      </c>
      <c r="Q107">
        <f t="shared" si="4"/>
        <v>0</v>
      </c>
    </row>
    <row r="108" spans="1:17">
      <c r="A108" t="s">
        <v>57</v>
      </c>
      <c r="B108" s="2">
        <v>45689</v>
      </c>
      <c r="C108" t="s">
        <v>27</v>
      </c>
      <c r="D108" t="s">
        <v>18</v>
      </c>
      <c r="E108">
        <v>45706.49</v>
      </c>
      <c r="F108">
        <v>6704</v>
      </c>
      <c r="G108">
        <v>3.7999999999999999E-2</v>
      </c>
      <c r="H108">
        <v>15</v>
      </c>
      <c r="I108">
        <v>94.2</v>
      </c>
      <c r="J108">
        <v>2.92</v>
      </c>
      <c r="K108">
        <v>0</v>
      </c>
      <c r="L108">
        <v>4.2</v>
      </c>
      <c r="M108">
        <v>715097.57</v>
      </c>
      <c r="N108">
        <v>151875.85999999999</v>
      </c>
      <c r="O108">
        <f t="shared" si="3"/>
        <v>1</v>
      </c>
      <c r="P108">
        <f t="shared" si="5"/>
        <v>0</v>
      </c>
      <c r="Q108">
        <f t="shared" si="4"/>
        <v>0</v>
      </c>
    </row>
    <row r="109" spans="1:17">
      <c r="A109" t="s">
        <v>78</v>
      </c>
      <c r="B109" s="2">
        <v>45689</v>
      </c>
      <c r="C109" t="s">
        <v>15</v>
      </c>
      <c r="D109" t="s">
        <v>28</v>
      </c>
      <c r="E109">
        <v>57225.98</v>
      </c>
      <c r="F109">
        <v>2842</v>
      </c>
      <c r="G109">
        <v>0.112</v>
      </c>
      <c r="H109">
        <v>10</v>
      </c>
      <c r="I109">
        <v>79.5</v>
      </c>
      <c r="J109">
        <v>5.45</v>
      </c>
      <c r="K109">
        <v>0</v>
      </c>
      <c r="L109">
        <v>3.4</v>
      </c>
      <c r="M109">
        <v>536545.49</v>
      </c>
      <c r="N109">
        <v>97917.45</v>
      </c>
      <c r="O109">
        <f t="shared" si="3"/>
        <v>0</v>
      </c>
      <c r="P109">
        <f t="shared" si="5"/>
        <v>1</v>
      </c>
      <c r="Q109">
        <f t="shared" si="4"/>
        <v>0</v>
      </c>
    </row>
    <row r="110" spans="1:17">
      <c r="A110" t="s">
        <v>76</v>
      </c>
      <c r="B110" s="2">
        <v>45658</v>
      </c>
      <c r="C110" t="s">
        <v>20</v>
      </c>
      <c r="D110" t="s">
        <v>21</v>
      </c>
      <c r="E110">
        <v>69180.539999999994</v>
      </c>
      <c r="F110">
        <v>5394</v>
      </c>
      <c r="G110">
        <v>0.126</v>
      </c>
      <c r="H110">
        <v>12</v>
      </c>
      <c r="I110">
        <v>82.9</v>
      </c>
      <c r="J110">
        <v>3.27</v>
      </c>
      <c r="K110">
        <v>0</v>
      </c>
      <c r="L110">
        <v>3.3</v>
      </c>
      <c r="M110">
        <v>674289.1</v>
      </c>
      <c r="N110">
        <v>117773.79</v>
      </c>
      <c r="O110">
        <f t="shared" si="3"/>
        <v>0</v>
      </c>
      <c r="P110">
        <f t="shared" si="5"/>
        <v>0</v>
      </c>
      <c r="Q110">
        <f t="shared" si="4"/>
        <v>1</v>
      </c>
    </row>
    <row r="111" spans="1:17">
      <c r="A111" t="s">
        <v>93</v>
      </c>
      <c r="B111" s="2">
        <v>45689</v>
      </c>
      <c r="C111" t="s">
        <v>27</v>
      </c>
      <c r="D111" t="s">
        <v>16</v>
      </c>
      <c r="E111">
        <v>74539.14</v>
      </c>
      <c r="F111">
        <v>4487</v>
      </c>
      <c r="G111">
        <v>0.14000000000000001</v>
      </c>
      <c r="H111">
        <v>10</v>
      </c>
      <c r="I111">
        <v>90.4</v>
      </c>
      <c r="J111">
        <v>0.59</v>
      </c>
      <c r="K111">
        <v>0</v>
      </c>
      <c r="L111">
        <v>4.5</v>
      </c>
      <c r="M111">
        <v>633009.53</v>
      </c>
      <c r="N111">
        <v>123782.67</v>
      </c>
      <c r="O111">
        <f t="shared" si="3"/>
        <v>0</v>
      </c>
      <c r="P111">
        <f t="shared" si="5"/>
        <v>0</v>
      </c>
      <c r="Q111">
        <f t="shared" si="4"/>
        <v>0</v>
      </c>
    </row>
    <row r="112" spans="1:17">
      <c r="A112" t="s">
        <v>66</v>
      </c>
      <c r="B112" s="2">
        <v>45717</v>
      </c>
      <c r="C112" t="s">
        <v>27</v>
      </c>
      <c r="D112" t="s">
        <v>21</v>
      </c>
      <c r="E112">
        <v>40535.089999999997</v>
      </c>
      <c r="F112">
        <v>8870</v>
      </c>
      <c r="G112">
        <v>4.1000000000000002E-2</v>
      </c>
      <c r="H112">
        <v>21</v>
      </c>
      <c r="I112">
        <v>86.6</v>
      </c>
      <c r="J112">
        <v>0.3</v>
      </c>
      <c r="K112">
        <v>0</v>
      </c>
      <c r="L112">
        <v>4.0999999999999996</v>
      </c>
      <c r="M112">
        <v>781955.52</v>
      </c>
      <c r="N112">
        <v>152578.71</v>
      </c>
      <c r="O112">
        <f t="shared" si="3"/>
        <v>0</v>
      </c>
      <c r="P112">
        <f t="shared" si="5"/>
        <v>0</v>
      </c>
      <c r="Q112">
        <f t="shared" si="4"/>
        <v>1</v>
      </c>
    </row>
    <row r="113" spans="1:17">
      <c r="A113" t="s">
        <v>82</v>
      </c>
      <c r="B113" s="2">
        <v>45689</v>
      </c>
      <c r="C113" t="s">
        <v>24</v>
      </c>
      <c r="D113" t="s">
        <v>21</v>
      </c>
      <c r="E113">
        <v>51781.599999999999</v>
      </c>
      <c r="F113">
        <v>5648</v>
      </c>
      <c r="G113">
        <v>5.8999999999999997E-2</v>
      </c>
      <c r="H113">
        <v>13</v>
      </c>
      <c r="I113">
        <v>85.5</v>
      </c>
      <c r="J113">
        <v>4.04</v>
      </c>
      <c r="K113">
        <v>0</v>
      </c>
      <c r="L113">
        <v>3.7</v>
      </c>
      <c r="M113">
        <v>676337.41</v>
      </c>
      <c r="N113">
        <v>104355.77</v>
      </c>
      <c r="O113">
        <f t="shared" si="3"/>
        <v>0</v>
      </c>
      <c r="P113">
        <f t="shared" si="5"/>
        <v>0</v>
      </c>
      <c r="Q113">
        <f t="shared" si="4"/>
        <v>1</v>
      </c>
    </row>
    <row r="114" spans="1:17">
      <c r="A114" t="s">
        <v>80</v>
      </c>
      <c r="B114" s="2">
        <v>45717</v>
      </c>
      <c r="C114" t="s">
        <v>27</v>
      </c>
      <c r="D114" t="s">
        <v>16</v>
      </c>
      <c r="E114">
        <v>62582.71</v>
      </c>
      <c r="F114">
        <v>5479</v>
      </c>
      <c r="G114">
        <v>4.8000000000000001E-2</v>
      </c>
      <c r="H114">
        <v>16</v>
      </c>
      <c r="I114">
        <v>81.2</v>
      </c>
      <c r="J114">
        <v>1.46</v>
      </c>
      <c r="K114">
        <v>0</v>
      </c>
      <c r="L114">
        <v>4.5</v>
      </c>
      <c r="M114">
        <v>640666.53</v>
      </c>
      <c r="N114">
        <v>134919.16</v>
      </c>
      <c r="O114">
        <f t="shared" si="3"/>
        <v>0</v>
      </c>
      <c r="P114">
        <f t="shared" si="5"/>
        <v>0</v>
      </c>
      <c r="Q114">
        <f t="shared" si="4"/>
        <v>0</v>
      </c>
    </row>
    <row r="115" spans="1:17">
      <c r="A115" t="s">
        <v>99</v>
      </c>
      <c r="B115" s="2">
        <v>45748</v>
      </c>
      <c r="C115" t="s">
        <v>24</v>
      </c>
      <c r="D115" t="s">
        <v>18</v>
      </c>
      <c r="E115">
        <v>86026.58</v>
      </c>
      <c r="F115">
        <v>7479</v>
      </c>
      <c r="G115">
        <v>0.14199999999999999</v>
      </c>
      <c r="H115">
        <v>20</v>
      </c>
      <c r="I115">
        <v>89</v>
      </c>
      <c r="J115">
        <v>0.9</v>
      </c>
      <c r="K115">
        <v>0</v>
      </c>
      <c r="M115">
        <v>771129.07</v>
      </c>
      <c r="N115">
        <v>116851.13</v>
      </c>
      <c r="O115">
        <f t="shared" si="3"/>
        <v>1</v>
      </c>
      <c r="P115">
        <f t="shared" si="5"/>
        <v>0</v>
      </c>
      <c r="Q115">
        <f t="shared" si="4"/>
        <v>0</v>
      </c>
    </row>
    <row r="116" spans="1:17">
      <c r="A116" t="s">
        <v>32</v>
      </c>
      <c r="B116" s="2">
        <v>45748</v>
      </c>
      <c r="C116" t="s">
        <v>15</v>
      </c>
      <c r="D116" t="s">
        <v>28</v>
      </c>
      <c r="E116">
        <v>64882.14</v>
      </c>
      <c r="F116">
        <v>3642</v>
      </c>
      <c r="G116">
        <v>1.9E-2</v>
      </c>
      <c r="H116">
        <v>13</v>
      </c>
      <c r="I116">
        <v>87.8</v>
      </c>
      <c r="J116">
        <v>4.5199999999999996</v>
      </c>
      <c r="K116">
        <v>0</v>
      </c>
      <c r="L116">
        <v>4.2</v>
      </c>
      <c r="M116">
        <v>605178</v>
      </c>
      <c r="N116">
        <v>106958.74</v>
      </c>
      <c r="O116">
        <f t="shared" si="3"/>
        <v>0</v>
      </c>
      <c r="P116">
        <f t="shared" si="5"/>
        <v>1</v>
      </c>
      <c r="Q116">
        <f t="shared" si="4"/>
        <v>0</v>
      </c>
    </row>
    <row r="117" spans="1:17">
      <c r="A117" t="s">
        <v>52</v>
      </c>
      <c r="B117" s="2">
        <v>45689</v>
      </c>
      <c r="C117" t="s">
        <v>20</v>
      </c>
      <c r="D117" t="s">
        <v>18</v>
      </c>
      <c r="E117">
        <v>83044.17</v>
      </c>
      <c r="F117">
        <v>3694</v>
      </c>
      <c r="G117">
        <v>0</v>
      </c>
      <c r="H117">
        <v>14</v>
      </c>
      <c r="I117">
        <v>89.4</v>
      </c>
      <c r="J117">
        <v>2.2000000000000002</v>
      </c>
      <c r="K117">
        <v>0</v>
      </c>
      <c r="L117">
        <v>3.7</v>
      </c>
      <c r="M117">
        <v>654317.09</v>
      </c>
      <c r="N117">
        <v>121446.89</v>
      </c>
      <c r="O117">
        <f t="shared" si="3"/>
        <v>1</v>
      </c>
      <c r="P117">
        <f t="shared" si="5"/>
        <v>0</v>
      </c>
      <c r="Q117">
        <f t="shared" si="4"/>
        <v>0</v>
      </c>
    </row>
    <row r="118" spans="1:17">
      <c r="A118" t="s">
        <v>65</v>
      </c>
      <c r="B118" s="2">
        <v>45658</v>
      </c>
      <c r="C118" t="s">
        <v>15</v>
      </c>
      <c r="D118" t="s">
        <v>16</v>
      </c>
      <c r="E118">
        <v>65237.79</v>
      </c>
      <c r="F118">
        <v>8741</v>
      </c>
      <c r="G118">
        <v>0.157</v>
      </c>
      <c r="H118">
        <v>20</v>
      </c>
      <c r="I118">
        <v>94.4</v>
      </c>
      <c r="J118">
        <v>6.43</v>
      </c>
      <c r="K118">
        <v>0</v>
      </c>
      <c r="L118">
        <v>3.3</v>
      </c>
      <c r="M118">
        <v>780344.18</v>
      </c>
      <c r="N118">
        <v>118239.09</v>
      </c>
      <c r="O118">
        <f t="shared" si="3"/>
        <v>0</v>
      </c>
      <c r="P118">
        <f t="shared" si="5"/>
        <v>0</v>
      </c>
      <c r="Q118">
        <f t="shared" si="4"/>
        <v>0</v>
      </c>
    </row>
    <row r="119" spans="1:17">
      <c r="A119" t="s">
        <v>79</v>
      </c>
      <c r="B119" s="2">
        <v>45748</v>
      </c>
      <c r="C119" t="s">
        <v>15</v>
      </c>
      <c r="D119" t="s">
        <v>18</v>
      </c>
      <c r="E119">
        <v>25818.080000000002</v>
      </c>
      <c r="F119">
        <v>5457</v>
      </c>
      <c r="G119">
        <v>0</v>
      </c>
      <c r="H119">
        <v>11</v>
      </c>
      <c r="I119">
        <v>95.4</v>
      </c>
      <c r="K119">
        <v>0</v>
      </c>
      <c r="L119">
        <v>3.7</v>
      </c>
      <c r="M119">
        <v>647512.85</v>
      </c>
      <c r="N119">
        <v>153835.57</v>
      </c>
      <c r="O119">
        <f t="shared" si="3"/>
        <v>1</v>
      </c>
      <c r="P119">
        <f t="shared" si="5"/>
        <v>0</v>
      </c>
      <c r="Q119">
        <f t="shared" si="4"/>
        <v>0</v>
      </c>
    </row>
    <row r="120" spans="1:17">
      <c r="A120" t="s">
        <v>100</v>
      </c>
      <c r="B120" s="2">
        <v>45717</v>
      </c>
      <c r="C120" t="s">
        <v>20</v>
      </c>
      <c r="D120" t="s">
        <v>16</v>
      </c>
      <c r="E120">
        <v>62507.16</v>
      </c>
      <c r="F120">
        <v>6000</v>
      </c>
      <c r="G120">
        <v>9.0999999999999998E-2</v>
      </c>
      <c r="H120">
        <v>14</v>
      </c>
      <c r="I120">
        <v>98.2</v>
      </c>
      <c r="J120">
        <v>4.38</v>
      </c>
      <c r="K120">
        <v>1</v>
      </c>
      <c r="L120">
        <v>3.9</v>
      </c>
      <c r="M120">
        <v>712375.77</v>
      </c>
      <c r="N120">
        <v>104171.53</v>
      </c>
      <c r="O120">
        <f t="shared" si="3"/>
        <v>0</v>
      </c>
      <c r="P120">
        <f t="shared" si="5"/>
        <v>0</v>
      </c>
      <c r="Q120">
        <f t="shared" si="4"/>
        <v>0</v>
      </c>
    </row>
    <row r="121" spans="1:17">
      <c r="A121" t="s">
        <v>31</v>
      </c>
      <c r="B121" s="2">
        <v>45717</v>
      </c>
      <c r="C121" t="s">
        <v>20</v>
      </c>
      <c r="D121" t="s">
        <v>28</v>
      </c>
      <c r="E121">
        <v>93381.26</v>
      </c>
      <c r="F121">
        <v>7562</v>
      </c>
      <c r="G121">
        <v>0.19800000000000001</v>
      </c>
      <c r="H121">
        <v>19</v>
      </c>
      <c r="I121">
        <v>82.9</v>
      </c>
      <c r="J121">
        <v>5.05</v>
      </c>
      <c r="K121">
        <v>0</v>
      </c>
      <c r="L121">
        <v>4</v>
      </c>
      <c r="M121">
        <v>736633.4</v>
      </c>
      <c r="N121">
        <v>115654.66</v>
      </c>
      <c r="O121">
        <f t="shared" si="3"/>
        <v>0</v>
      </c>
      <c r="P121">
        <f t="shared" si="5"/>
        <v>1</v>
      </c>
      <c r="Q121">
        <f t="shared" si="4"/>
        <v>0</v>
      </c>
    </row>
    <row r="122" spans="1:17">
      <c r="A122" t="s">
        <v>68</v>
      </c>
      <c r="B122" s="2">
        <v>45689</v>
      </c>
      <c r="C122" t="s">
        <v>20</v>
      </c>
      <c r="D122" t="s">
        <v>18</v>
      </c>
      <c r="E122">
        <v>57147.88</v>
      </c>
      <c r="F122">
        <v>5252</v>
      </c>
      <c r="G122">
        <v>0.161</v>
      </c>
      <c r="H122">
        <v>15</v>
      </c>
      <c r="I122">
        <v>95.5</v>
      </c>
      <c r="J122">
        <v>8.51</v>
      </c>
      <c r="K122">
        <v>0</v>
      </c>
      <c r="L122">
        <v>4.4000000000000004</v>
      </c>
      <c r="M122">
        <v>678311.17</v>
      </c>
      <c r="N122">
        <v>132029.76000000001</v>
      </c>
      <c r="O122">
        <f t="shared" si="3"/>
        <v>1</v>
      </c>
      <c r="P122">
        <f t="shared" si="5"/>
        <v>0</v>
      </c>
      <c r="Q122">
        <f t="shared" si="4"/>
        <v>0</v>
      </c>
    </row>
    <row r="123" spans="1:17">
      <c r="A123" t="s">
        <v>26</v>
      </c>
      <c r="B123" s="2">
        <v>45717</v>
      </c>
      <c r="C123" t="s">
        <v>27</v>
      </c>
      <c r="D123" t="s">
        <v>28</v>
      </c>
      <c r="E123">
        <v>55270.52</v>
      </c>
      <c r="F123">
        <v>9315</v>
      </c>
      <c r="G123">
        <v>0.16900000000000001</v>
      </c>
      <c r="H123">
        <v>23</v>
      </c>
      <c r="I123">
        <v>91.9</v>
      </c>
      <c r="J123">
        <v>4.9400000000000004</v>
      </c>
      <c r="K123">
        <v>0</v>
      </c>
      <c r="L123">
        <v>4</v>
      </c>
      <c r="M123">
        <v>783672.82</v>
      </c>
      <c r="N123">
        <v>112577.14</v>
      </c>
      <c r="O123">
        <f t="shared" si="3"/>
        <v>0</v>
      </c>
      <c r="P123">
        <f t="shared" si="5"/>
        <v>1</v>
      </c>
      <c r="Q123">
        <f t="shared" si="4"/>
        <v>0</v>
      </c>
    </row>
    <row r="124" spans="1:17">
      <c r="A124" t="s">
        <v>81</v>
      </c>
      <c r="B124" s="2">
        <v>45717</v>
      </c>
      <c r="C124" t="s">
        <v>27</v>
      </c>
      <c r="D124" t="s">
        <v>28</v>
      </c>
      <c r="E124">
        <v>59060.05</v>
      </c>
      <c r="F124">
        <v>9702</v>
      </c>
      <c r="G124">
        <v>0.20100000000000001</v>
      </c>
      <c r="H124">
        <v>23</v>
      </c>
      <c r="I124">
        <v>80.900000000000006</v>
      </c>
      <c r="J124">
        <v>6.96</v>
      </c>
      <c r="K124">
        <v>0</v>
      </c>
      <c r="L124">
        <v>3.2</v>
      </c>
      <c r="M124">
        <v>761919.25</v>
      </c>
      <c r="N124">
        <v>111893.06</v>
      </c>
      <c r="O124">
        <f t="shared" si="3"/>
        <v>0</v>
      </c>
      <c r="P124">
        <f t="shared" si="5"/>
        <v>1</v>
      </c>
      <c r="Q124">
        <f t="shared" si="4"/>
        <v>0</v>
      </c>
    </row>
    <row r="125" spans="1:17">
      <c r="A125" t="s">
        <v>92</v>
      </c>
      <c r="B125" s="2">
        <v>45717</v>
      </c>
      <c r="C125" t="s">
        <v>24</v>
      </c>
      <c r="D125" t="s">
        <v>18</v>
      </c>
      <c r="E125">
        <v>66104.19</v>
      </c>
      <c r="F125">
        <v>5745</v>
      </c>
      <c r="G125">
        <v>7.0000000000000007E-2</v>
      </c>
      <c r="H125">
        <v>17</v>
      </c>
      <c r="I125">
        <v>95.8</v>
      </c>
      <c r="J125">
        <v>3.15</v>
      </c>
      <c r="K125">
        <v>0</v>
      </c>
      <c r="L125">
        <v>4</v>
      </c>
      <c r="M125">
        <v>714083.68</v>
      </c>
      <c r="N125">
        <v>127231.74</v>
      </c>
      <c r="O125">
        <f t="shared" si="3"/>
        <v>1</v>
      </c>
      <c r="P125">
        <f t="shared" si="5"/>
        <v>0</v>
      </c>
      <c r="Q125">
        <f t="shared" si="4"/>
        <v>0</v>
      </c>
    </row>
    <row r="126" spans="1:17">
      <c r="A126" t="s">
        <v>25</v>
      </c>
      <c r="B126" s="2">
        <v>45717</v>
      </c>
      <c r="C126" t="s">
        <v>20</v>
      </c>
      <c r="D126" t="s">
        <v>16</v>
      </c>
      <c r="E126">
        <v>42267.37</v>
      </c>
      <c r="F126">
        <v>3364</v>
      </c>
      <c r="G126">
        <v>0.16</v>
      </c>
      <c r="H126">
        <v>13</v>
      </c>
      <c r="I126">
        <v>82</v>
      </c>
      <c r="J126">
        <v>1.61</v>
      </c>
      <c r="K126">
        <v>1</v>
      </c>
      <c r="L126">
        <v>4.5999999999999996</v>
      </c>
      <c r="M126">
        <v>555929.4</v>
      </c>
      <c r="N126">
        <v>115201.76</v>
      </c>
      <c r="O126">
        <f t="shared" si="3"/>
        <v>0</v>
      </c>
      <c r="P126">
        <f t="shared" si="5"/>
        <v>0</v>
      </c>
      <c r="Q126">
        <f t="shared" si="4"/>
        <v>0</v>
      </c>
    </row>
    <row r="127" spans="1:17">
      <c r="A127" t="s">
        <v>33</v>
      </c>
      <c r="B127" s="2">
        <v>45748</v>
      </c>
      <c r="C127" t="s">
        <v>27</v>
      </c>
      <c r="D127" t="s">
        <v>16</v>
      </c>
      <c r="E127">
        <v>42093.84</v>
      </c>
      <c r="F127">
        <v>4074</v>
      </c>
      <c r="G127">
        <v>0.155</v>
      </c>
      <c r="H127">
        <v>15</v>
      </c>
      <c r="I127">
        <v>88</v>
      </c>
      <c r="J127">
        <v>9.64</v>
      </c>
      <c r="K127">
        <v>0</v>
      </c>
      <c r="L127">
        <v>3.3</v>
      </c>
      <c r="M127">
        <v>585365.73</v>
      </c>
      <c r="N127">
        <v>81011.520000000004</v>
      </c>
      <c r="O127">
        <f t="shared" si="3"/>
        <v>0</v>
      </c>
      <c r="P127">
        <f t="shared" si="5"/>
        <v>0</v>
      </c>
      <c r="Q127">
        <f t="shared" si="4"/>
        <v>0</v>
      </c>
    </row>
    <row r="128" spans="1:17">
      <c r="A128" t="s">
        <v>51</v>
      </c>
      <c r="B128" s="2">
        <v>45748</v>
      </c>
      <c r="C128" t="s">
        <v>27</v>
      </c>
      <c r="D128" t="s">
        <v>16</v>
      </c>
      <c r="E128">
        <v>54968.98</v>
      </c>
      <c r="F128">
        <v>7816</v>
      </c>
      <c r="G128">
        <v>0.23200000000000001</v>
      </c>
      <c r="H128">
        <v>19</v>
      </c>
      <c r="I128">
        <v>95.7</v>
      </c>
      <c r="J128">
        <v>7.85</v>
      </c>
      <c r="K128">
        <v>0</v>
      </c>
      <c r="L128">
        <v>4.7</v>
      </c>
      <c r="M128">
        <v>735480.19</v>
      </c>
      <c r="N128">
        <v>88342.11</v>
      </c>
      <c r="O128">
        <f t="shared" si="3"/>
        <v>0</v>
      </c>
      <c r="P128">
        <f t="shared" si="5"/>
        <v>0</v>
      </c>
      <c r="Q128">
        <f t="shared" si="4"/>
        <v>0</v>
      </c>
    </row>
    <row r="129" spans="1:17">
      <c r="A129" t="s">
        <v>67</v>
      </c>
      <c r="B129" s="2">
        <v>45689</v>
      </c>
      <c r="C129" t="s">
        <v>27</v>
      </c>
      <c r="D129" t="s">
        <v>16</v>
      </c>
      <c r="E129">
        <v>45209.25</v>
      </c>
      <c r="F129">
        <v>9287</v>
      </c>
      <c r="G129">
        <v>0.14099999999999999</v>
      </c>
      <c r="H129">
        <v>22</v>
      </c>
      <c r="I129">
        <v>86.4</v>
      </c>
      <c r="J129">
        <v>13.22</v>
      </c>
      <c r="K129">
        <v>0</v>
      </c>
      <c r="L129">
        <v>3.6</v>
      </c>
      <c r="M129">
        <v>751393.88</v>
      </c>
      <c r="N129">
        <v>91480.320000000007</v>
      </c>
      <c r="O129">
        <f t="shared" si="3"/>
        <v>0</v>
      </c>
      <c r="P129">
        <f t="shared" si="5"/>
        <v>0</v>
      </c>
      <c r="Q129">
        <f t="shared" si="4"/>
        <v>0</v>
      </c>
    </row>
    <row r="130" spans="1:17">
      <c r="A130" t="s">
        <v>84</v>
      </c>
      <c r="B130" s="2">
        <v>45658</v>
      </c>
      <c r="C130" t="s">
        <v>20</v>
      </c>
      <c r="D130" t="s">
        <v>18</v>
      </c>
      <c r="E130">
        <v>40923.67</v>
      </c>
      <c r="F130">
        <v>3875</v>
      </c>
      <c r="G130">
        <v>0.15</v>
      </c>
      <c r="H130">
        <v>10</v>
      </c>
      <c r="I130">
        <v>96.1</v>
      </c>
      <c r="K130">
        <v>0</v>
      </c>
      <c r="L130">
        <v>3.8</v>
      </c>
      <c r="M130">
        <v>606783.67000000004</v>
      </c>
      <c r="N130">
        <v>74515.87</v>
      </c>
      <c r="O130">
        <f t="shared" ref="O130:O193" si="6">IF(D130="High Street",1,0)</f>
        <v>1</v>
      </c>
      <c r="P130">
        <f t="shared" si="5"/>
        <v>0</v>
      </c>
      <c r="Q130">
        <f t="shared" ref="Q130:Q193" si="7">IF(D130="Airport",1,0)</f>
        <v>0</v>
      </c>
    </row>
    <row r="131" spans="1:17">
      <c r="A131" t="s">
        <v>31</v>
      </c>
      <c r="B131" s="2">
        <v>45748</v>
      </c>
      <c r="C131" t="s">
        <v>20</v>
      </c>
      <c r="D131" t="s">
        <v>28</v>
      </c>
      <c r="E131">
        <v>65012.19</v>
      </c>
      <c r="F131">
        <v>9598</v>
      </c>
      <c r="G131">
        <v>8.5000000000000006E-2</v>
      </c>
      <c r="H131">
        <v>24</v>
      </c>
      <c r="I131">
        <v>98.3</v>
      </c>
      <c r="J131">
        <v>0.89</v>
      </c>
      <c r="K131">
        <v>0</v>
      </c>
      <c r="L131">
        <v>3.8</v>
      </c>
      <c r="M131">
        <v>828623.85</v>
      </c>
      <c r="N131">
        <v>167320.51999999999</v>
      </c>
      <c r="O131">
        <f t="shared" si="6"/>
        <v>0</v>
      </c>
      <c r="P131">
        <f t="shared" ref="P131:P194" si="8">IF(D131="Mall",1,0)</f>
        <v>1</v>
      </c>
      <c r="Q131">
        <f t="shared" si="7"/>
        <v>0</v>
      </c>
    </row>
    <row r="132" spans="1:17">
      <c r="A132" t="s">
        <v>88</v>
      </c>
      <c r="B132" s="2">
        <v>45717</v>
      </c>
      <c r="C132" t="s">
        <v>15</v>
      </c>
      <c r="D132" t="s">
        <v>18</v>
      </c>
      <c r="E132">
        <v>56602.39</v>
      </c>
      <c r="F132">
        <v>7969</v>
      </c>
      <c r="G132">
        <v>0.17</v>
      </c>
      <c r="H132">
        <v>21</v>
      </c>
      <c r="I132">
        <v>88.3</v>
      </c>
      <c r="J132">
        <v>2.25</v>
      </c>
      <c r="K132">
        <v>0</v>
      </c>
      <c r="L132">
        <v>3.7</v>
      </c>
      <c r="M132">
        <v>745580.51</v>
      </c>
      <c r="N132">
        <v>116273.68</v>
      </c>
      <c r="O132">
        <f t="shared" si="6"/>
        <v>1</v>
      </c>
      <c r="P132">
        <f t="shared" si="8"/>
        <v>0</v>
      </c>
      <c r="Q132">
        <f t="shared" si="7"/>
        <v>0</v>
      </c>
    </row>
    <row r="133" spans="1:17">
      <c r="A133" t="s">
        <v>97</v>
      </c>
      <c r="B133" s="2">
        <v>45689</v>
      </c>
      <c r="C133" t="s">
        <v>20</v>
      </c>
      <c r="D133" t="s">
        <v>28</v>
      </c>
      <c r="E133">
        <v>63986.98</v>
      </c>
      <c r="F133">
        <v>7989</v>
      </c>
      <c r="G133">
        <v>7.3999999999999996E-2</v>
      </c>
      <c r="H133">
        <v>20</v>
      </c>
      <c r="I133">
        <v>83.3</v>
      </c>
      <c r="J133">
        <v>3.6</v>
      </c>
      <c r="K133">
        <v>0</v>
      </c>
      <c r="L133">
        <v>3.7</v>
      </c>
      <c r="M133">
        <v>724346.73</v>
      </c>
      <c r="N133">
        <v>155013.91</v>
      </c>
      <c r="O133">
        <f t="shared" si="6"/>
        <v>0</v>
      </c>
      <c r="P133">
        <f t="shared" si="8"/>
        <v>1</v>
      </c>
      <c r="Q133">
        <f t="shared" si="7"/>
        <v>0</v>
      </c>
    </row>
    <row r="134" spans="1:17">
      <c r="A134" t="s">
        <v>63</v>
      </c>
      <c r="B134" s="2">
        <v>45717</v>
      </c>
      <c r="C134" t="s">
        <v>20</v>
      </c>
      <c r="D134" t="s">
        <v>28</v>
      </c>
      <c r="E134">
        <v>30301.86</v>
      </c>
      <c r="F134">
        <v>6939</v>
      </c>
      <c r="G134">
        <v>0.09</v>
      </c>
      <c r="H134">
        <v>16</v>
      </c>
      <c r="I134">
        <v>90.3</v>
      </c>
      <c r="J134">
        <v>3.49</v>
      </c>
      <c r="K134">
        <v>0</v>
      </c>
      <c r="L134">
        <v>4</v>
      </c>
      <c r="M134">
        <v>665534.69999999995</v>
      </c>
      <c r="N134">
        <v>113167.73</v>
      </c>
      <c r="O134">
        <f t="shared" si="6"/>
        <v>0</v>
      </c>
      <c r="P134">
        <f t="shared" si="8"/>
        <v>1</v>
      </c>
      <c r="Q134">
        <f t="shared" si="7"/>
        <v>0</v>
      </c>
    </row>
    <row r="135" spans="1:17">
      <c r="A135" t="s">
        <v>25</v>
      </c>
      <c r="B135" s="2">
        <v>45748</v>
      </c>
      <c r="C135" t="s">
        <v>20</v>
      </c>
      <c r="D135" t="s">
        <v>16</v>
      </c>
      <c r="E135">
        <v>62060.43</v>
      </c>
      <c r="F135">
        <v>2613</v>
      </c>
      <c r="G135">
        <v>0.216</v>
      </c>
      <c r="H135">
        <v>12</v>
      </c>
      <c r="I135">
        <v>92.1</v>
      </c>
      <c r="J135">
        <v>1.55</v>
      </c>
      <c r="K135">
        <v>0</v>
      </c>
      <c r="L135">
        <v>4.7</v>
      </c>
      <c r="M135">
        <v>565810.99</v>
      </c>
      <c r="N135">
        <v>77825.460000000006</v>
      </c>
      <c r="O135">
        <f t="shared" si="6"/>
        <v>0</v>
      </c>
      <c r="P135">
        <f t="shared" si="8"/>
        <v>0</v>
      </c>
      <c r="Q135">
        <f t="shared" si="7"/>
        <v>0</v>
      </c>
    </row>
    <row r="136" spans="1:17">
      <c r="A136" t="s">
        <v>80</v>
      </c>
      <c r="B136" s="2">
        <v>45748</v>
      </c>
      <c r="C136" t="s">
        <v>27</v>
      </c>
      <c r="D136" t="s">
        <v>16</v>
      </c>
      <c r="E136">
        <v>47944.14</v>
      </c>
      <c r="F136">
        <v>6169</v>
      </c>
      <c r="G136">
        <v>0.11899999999999999</v>
      </c>
      <c r="H136">
        <v>17</v>
      </c>
      <c r="I136">
        <v>92.2</v>
      </c>
      <c r="J136">
        <v>3.02</v>
      </c>
      <c r="K136">
        <v>0</v>
      </c>
      <c r="L136">
        <v>4.0999999999999996</v>
      </c>
      <c r="M136">
        <v>670629.48</v>
      </c>
      <c r="N136">
        <v>100140.8</v>
      </c>
      <c r="O136">
        <f t="shared" si="6"/>
        <v>0</v>
      </c>
      <c r="P136">
        <f t="shared" si="8"/>
        <v>0</v>
      </c>
      <c r="Q136">
        <f t="shared" si="7"/>
        <v>0</v>
      </c>
    </row>
    <row r="137" spans="1:17">
      <c r="A137" t="s">
        <v>38</v>
      </c>
      <c r="B137" s="2">
        <v>45748</v>
      </c>
      <c r="C137" t="s">
        <v>27</v>
      </c>
      <c r="D137" t="s">
        <v>18</v>
      </c>
      <c r="E137">
        <v>42018.400000000001</v>
      </c>
      <c r="F137">
        <v>8296</v>
      </c>
      <c r="G137">
        <v>0.115</v>
      </c>
      <c r="H137">
        <v>17</v>
      </c>
      <c r="I137">
        <v>91.8</v>
      </c>
      <c r="J137">
        <v>0.77</v>
      </c>
      <c r="K137">
        <v>0</v>
      </c>
      <c r="L137">
        <v>3.4</v>
      </c>
      <c r="M137">
        <v>740496.65</v>
      </c>
      <c r="N137">
        <v>128020.9</v>
      </c>
      <c r="O137">
        <f t="shared" si="6"/>
        <v>1</v>
      </c>
      <c r="P137">
        <f t="shared" si="8"/>
        <v>0</v>
      </c>
      <c r="Q137">
        <f t="shared" si="7"/>
        <v>0</v>
      </c>
    </row>
    <row r="138" spans="1:17">
      <c r="A138" t="s">
        <v>46</v>
      </c>
      <c r="B138" s="2">
        <v>45658</v>
      </c>
      <c r="C138" t="s">
        <v>27</v>
      </c>
      <c r="D138" t="s">
        <v>28</v>
      </c>
      <c r="E138">
        <v>61132.07</v>
      </c>
      <c r="F138">
        <v>6394</v>
      </c>
      <c r="G138">
        <v>0.16300000000000001</v>
      </c>
      <c r="H138">
        <v>19</v>
      </c>
      <c r="I138">
        <v>91</v>
      </c>
      <c r="J138">
        <v>19.600000000000001</v>
      </c>
      <c r="K138">
        <v>0</v>
      </c>
      <c r="L138">
        <v>4.4000000000000004</v>
      </c>
      <c r="M138">
        <v>691113.62</v>
      </c>
      <c r="N138">
        <v>135145.44</v>
      </c>
      <c r="O138">
        <f t="shared" si="6"/>
        <v>0</v>
      </c>
      <c r="P138">
        <f t="shared" si="8"/>
        <v>1</v>
      </c>
      <c r="Q138">
        <f t="shared" si="7"/>
        <v>0</v>
      </c>
    </row>
    <row r="139" spans="1:17">
      <c r="A139" t="s">
        <v>29</v>
      </c>
      <c r="B139" s="2">
        <v>45689</v>
      </c>
      <c r="C139" t="s">
        <v>15</v>
      </c>
      <c r="D139" t="s">
        <v>16</v>
      </c>
      <c r="E139">
        <v>63176.73</v>
      </c>
      <c r="F139">
        <v>2390</v>
      </c>
      <c r="G139">
        <v>0.216</v>
      </c>
      <c r="H139">
        <v>9</v>
      </c>
      <c r="I139">
        <v>87.5</v>
      </c>
      <c r="J139">
        <v>0.31</v>
      </c>
      <c r="K139">
        <v>0</v>
      </c>
      <c r="L139">
        <v>3.1</v>
      </c>
      <c r="M139">
        <v>537383.79</v>
      </c>
      <c r="N139">
        <v>63773.27</v>
      </c>
      <c r="O139">
        <f t="shared" si="6"/>
        <v>0</v>
      </c>
      <c r="P139">
        <f t="shared" si="8"/>
        <v>0</v>
      </c>
      <c r="Q139">
        <f t="shared" si="7"/>
        <v>0</v>
      </c>
    </row>
    <row r="140" spans="1:17">
      <c r="A140" t="s">
        <v>57</v>
      </c>
      <c r="B140" s="2">
        <v>45748</v>
      </c>
      <c r="C140" t="s">
        <v>27</v>
      </c>
      <c r="D140" t="s">
        <v>18</v>
      </c>
      <c r="E140">
        <v>50198.12</v>
      </c>
      <c r="F140">
        <v>6089</v>
      </c>
      <c r="G140">
        <v>0.182</v>
      </c>
      <c r="H140">
        <v>19</v>
      </c>
      <c r="I140">
        <v>94</v>
      </c>
      <c r="J140">
        <v>9.6999999999999993</v>
      </c>
      <c r="K140">
        <v>0</v>
      </c>
      <c r="L140">
        <v>3.9</v>
      </c>
      <c r="M140">
        <v>695098.51</v>
      </c>
      <c r="N140">
        <v>108192.75</v>
      </c>
      <c r="O140">
        <f t="shared" si="6"/>
        <v>1</v>
      </c>
      <c r="P140">
        <f t="shared" si="8"/>
        <v>0</v>
      </c>
      <c r="Q140">
        <f t="shared" si="7"/>
        <v>0</v>
      </c>
    </row>
    <row r="141" spans="1:17">
      <c r="A141" t="s">
        <v>39</v>
      </c>
      <c r="B141" s="2">
        <v>45717</v>
      </c>
      <c r="C141" t="s">
        <v>15</v>
      </c>
      <c r="D141" t="s">
        <v>18</v>
      </c>
      <c r="E141">
        <v>60571.82</v>
      </c>
      <c r="F141">
        <v>3193</v>
      </c>
      <c r="G141">
        <v>0.19700000000000001</v>
      </c>
      <c r="H141">
        <v>7</v>
      </c>
      <c r="I141">
        <v>99</v>
      </c>
      <c r="J141">
        <v>1.43</v>
      </c>
      <c r="K141">
        <v>0</v>
      </c>
      <c r="L141">
        <v>3.2</v>
      </c>
      <c r="M141">
        <v>605023.87</v>
      </c>
      <c r="N141">
        <v>98545.81</v>
      </c>
      <c r="O141">
        <f t="shared" si="6"/>
        <v>1</v>
      </c>
      <c r="P141">
        <f t="shared" si="8"/>
        <v>0</v>
      </c>
      <c r="Q141">
        <f t="shared" si="7"/>
        <v>0</v>
      </c>
    </row>
    <row r="142" spans="1:17">
      <c r="A142" t="s">
        <v>81</v>
      </c>
      <c r="B142" s="2">
        <v>45689</v>
      </c>
      <c r="C142" t="s">
        <v>27</v>
      </c>
      <c r="D142" t="s">
        <v>28</v>
      </c>
      <c r="E142">
        <v>72961.95</v>
      </c>
      <c r="F142">
        <v>9996</v>
      </c>
      <c r="G142">
        <v>0.106</v>
      </c>
      <c r="H142">
        <v>22</v>
      </c>
      <c r="I142">
        <v>89.1</v>
      </c>
      <c r="J142">
        <v>15.66</v>
      </c>
      <c r="K142">
        <v>0</v>
      </c>
      <c r="L142">
        <v>3.4</v>
      </c>
      <c r="M142">
        <v>810355.02</v>
      </c>
      <c r="N142">
        <v>131510</v>
      </c>
      <c r="O142">
        <f t="shared" si="6"/>
        <v>0</v>
      </c>
      <c r="P142">
        <f t="shared" si="8"/>
        <v>1</v>
      </c>
      <c r="Q142">
        <f t="shared" si="7"/>
        <v>0</v>
      </c>
    </row>
    <row r="143" spans="1:17">
      <c r="A143" t="s">
        <v>46</v>
      </c>
      <c r="B143" s="2">
        <v>45717</v>
      </c>
      <c r="C143" t="s">
        <v>27</v>
      </c>
      <c r="D143" t="s">
        <v>28</v>
      </c>
      <c r="E143">
        <v>38752.800000000003</v>
      </c>
      <c r="F143">
        <v>4712</v>
      </c>
      <c r="G143">
        <v>7.4999999999999997E-2</v>
      </c>
      <c r="H143">
        <v>15</v>
      </c>
      <c r="I143">
        <v>89.7</v>
      </c>
      <c r="K143">
        <v>0</v>
      </c>
      <c r="L143">
        <v>4.3</v>
      </c>
      <c r="M143">
        <v>605775.32999999996</v>
      </c>
      <c r="N143">
        <v>107194.6</v>
      </c>
      <c r="O143">
        <f t="shared" si="6"/>
        <v>0</v>
      </c>
      <c r="P143">
        <f t="shared" si="8"/>
        <v>1</v>
      </c>
      <c r="Q143">
        <f t="shared" si="7"/>
        <v>0</v>
      </c>
    </row>
    <row r="144" spans="1:17">
      <c r="A144" t="s">
        <v>51</v>
      </c>
      <c r="B144" s="2">
        <v>45658</v>
      </c>
      <c r="C144" t="s">
        <v>27</v>
      </c>
      <c r="D144" t="s">
        <v>16</v>
      </c>
      <c r="E144">
        <v>43685.14</v>
      </c>
      <c r="F144">
        <v>7821</v>
      </c>
      <c r="G144">
        <v>0.19</v>
      </c>
      <c r="H144">
        <v>17</v>
      </c>
      <c r="I144">
        <v>91</v>
      </c>
      <c r="J144">
        <v>2.4900000000000002</v>
      </c>
      <c r="K144">
        <v>1</v>
      </c>
      <c r="L144">
        <v>4.7</v>
      </c>
      <c r="M144">
        <v>714942.43</v>
      </c>
      <c r="N144">
        <v>94697.71</v>
      </c>
      <c r="O144">
        <f t="shared" si="6"/>
        <v>0</v>
      </c>
      <c r="P144">
        <f t="shared" si="8"/>
        <v>0</v>
      </c>
      <c r="Q144">
        <f t="shared" si="7"/>
        <v>0</v>
      </c>
    </row>
    <row r="145" spans="1:17">
      <c r="A145" t="s">
        <v>83</v>
      </c>
      <c r="B145" s="2">
        <v>45658</v>
      </c>
      <c r="C145" t="s">
        <v>15</v>
      </c>
      <c r="D145" t="s">
        <v>18</v>
      </c>
      <c r="E145">
        <v>76942.2</v>
      </c>
      <c r="F145">
        <v>8934</v>
      </c>
      <c r="G145">
        <v>8.4000000000000005E-2</v>
      </c>
      <c r="H145">
        <v>20</v>
      </c>
      <c r="I145">
        <v>91</v>
      </c>
      <c r="J145">
        <v>0.95</v>
      </c>
      <c r="K145">
        <v>0</v>
      </c>
      <c r="L145">
        <v>3.2</v>
      </c>
      <c r="M145">
        <v>802001.68</v>
      </c>
      <c r="N145">
        <v>159715.82</v>
      </c>
      <c r="O145">
        <f t="shared" si="6"/>
        <v>1</v>
      </c>
      <c r="P145">
        <f t="shared" si="8"/>
        <v>0</v>
      </c>
      <c r="Q145">
        <f t="shared" si="7"/>
        <v>0</v>
      </c>
    </row>
    <row r="146" spans="1:17">
      <c r="A146" t="s">
        <v>93</v>
      </c>
      <c r="B146" s="2">
        <v>45717</v>
      </c>
      <c r="C146" t="s">
        <v>27</v>
      </c>
      <c r="D146" t="s">
        <v>16</v>
      </c>
      <c r="E146">
        <v>55371.97</v>
      </c>
      <c r="F146">
        <v>4162</v>
      </c>
      <c r="G146">
        <v>0.183</v>
      </c>
      <c r="H146">
        <v>11</v>
      </c>
      <c r="I146">
        <v>92</v>
      </c>
      <c r="J146">
        <v>0.2</v>
      </c>
      <c r="K146">
        <v>1</v>
      </c>
      <c r="L146">
        <v>4.2</v>
      </c>
      <c r="M146">
        <v>609949</v>
      </c>
      <c r="N146">
        <v>126789.25</v>
      </c>
      <c r="O146">
        <f t="shared" si="6"/>
        <v>0</v>
      </c>
      <c r="P146">
        <f t="shared" si="8"/>
        <v>0</v>
      </c>
      <c r="Q146">
        <f t="shared" si="7"/>
        <v>0</v>
      </c>
    </row>
    <row r="147" spans="1:17">
      <c r="A147" t="s">
        <v>95</v>
      </c>
      <c r="B147" s="2">
        <v>45689</v>
      </c>
      <c r="C147" t="s">
        <v>27</v>
      </c>
      <c r="D147" t="s">
        <v>18</v>
      </c>
      <c r="E147">
        <v>40102.879999999997</v>
      </c>
      <c r="F147">
        <v>2358</v>
      </c>
      <c r="G147">
        <v>0.11899999999999999</v>
      </c>
      <c r="H147">
        <v>9</v>
      </c>
      <c r="I147">
        <v>88.7</v>
      </c>
      <c r="J147">
        <v>1.6</v>
      </c>
      <c r="K147">
        <v>0</v>
      </c>
      <c r="L147">
        <v>4.2</v>
      </c>
      <c r="M147">
        <v>533121.26</v>
      </c>
      <c r="N147">
        <v>55063.39</v>
      </c>
      <c r="O147">
        <f t="shared" si="6"/>
        <v>1</v>
      </c>
      <c r="P147">
        <f t="shared" si="8"/>
        <v>0</v>
      </c>
      <c r="Q147">
        <f t="shared" si="7"/>
        <v>0</v>
      </c>
    </row>
    <row r="148" spans="1:17">
      <c r="A148" t="s">
        <v>70</v>
      </c>
      <c r="B148" s="2">
        <v>45689</v>
      </c>
      <c r="C148" t="s">
        <v>27</v>
      </c>
      <c r="D148" t="s">
        <v>16</v>
      </c>
      <c r="E148">
        <v>51133.43</v>
      </c>
      <c r="F148">
        <v>5150</v>
      </c>
      <c r="G148">
        <v>0.15</v>
      </c>
      <c r="H148">
        <v>12</v>
      </c>
      <c r="I148">
        <v>88.5</v>
      </c>
      <c r="J148">
        <v>1.54</v>
      </c>
      <c r="K148">
        <v>0</v>
      </c>
      <c r="L148">
        <v>3.2</v>
      </c>
      <c r="M148">
        <v>611924.27</v>
      </c>
      <c r="N148">
        <v>115488.75</v>
      </c>
      <c r="O148">
        <f t="shared" si="6"/>
        <v>0</v>
      </c>
      <c r="P148">
        <f t="shared" si="8"/>
        <v>0</v>
      </c>
      <c r="Q148">
        <f t="shared" si="7"/>
        <v>0</v>
      </c>
    </row>
    <row r="149" spans="1:17">
      <c r="A149" t="s">
        <v>84</v>
      </c>
      <c r="B149" s="2">
        <v>45717</v>
      </c>
      <c r="C149" t="s">
        <v>20</v>
      </c>
      <c r="D149" t="s">
        <v>18</v>
      </c>
      <c r="E149">
        <v>38361.93</v>
      </c>
      <c r="F149">
        <v>6322</v>
      </c>
      <c r="G149">
        <v>0.27300000000000002</v>
      </c>
      <c r="H149">
        <v>15</v>
      </c>
      <c r="I149">
        <v>88.4</v>
      </c>
      <c r="J149">
        <v>0.83</v>
      </c>
      <c r="K149">
        <v>0</v>
      </c>
      <c r="L149">
        <v>4</v>
      </c>
      <c r="M149">
        <v>647953.78</v>
      </c>
      <c r="N149">
        <v>118497.43</v>
      </c>
      <c r="O149">
        <f t="shared" si="6"/>
        <v>1</v>
      </c>
      <c r="P149">
        <f t="shared" si="8"/>
        <v>0</v>
      </c>
      <c r="Q149">
        <f t="shared" si="7"/>
        <v>0</v>
      </c>
    </row>
    <row r="150" spans="1:17">
      <c r="A150" t="s">
        <v>89</v>
      </c>
      <c r="B150" s="2">
        <v>45717</v>
      </c>
      <c r="C150" t="s">
        <v>15</v>
      </c>
      <c r="D150" t="s">
        <v>28</v>
      </c>
      <c r="E150">
        <v>61995.3</v>
      </c>
      <c r="F150">
        <v>10192</v>
      </c>
      <c r="G150">
        <v>0.19800000000000001</v>
      </c>
      <c r="H150">
        <v>21</v>
      </c>
      <c r="I150">
        <v>87.6</v>
      </c>
      <c r="J150">
        <v>3.63</v>
      </c>
      <c r="K150">
        <v>1</v>
      </c>
      <c r="L150">
        <v>3.8</v>
      </c>
      <c r="M150">
        <v>799756.46</v>
      </c>
      <c r="N150">
        <v>105052.93</v>
      </c>
      <c r="O150">
        <f t="shared" si="6"/>
        <v>0</v>
      </c>
      <c r="P150">
        <f t="shared" si="8"/>
        <v>1</v>
      </c>
      <c r="Q150">
        <f t="shared" si="7"/>
        <v>0</v>
      </c>
    </row>
    <row r="151" spans="1:17">
      <c r="A151" t="s">
        <v>87</v>
      </c>
      <c r="B151" s="2">
        <v>45658</v>
      </c>
      <c r="C151" t="s">
        <v>27</v>
      </c>
      <c r="D151" t="s">
        <v>18</v>
      </c>
      <c r="E151">
        <v>14519.37</v>
      </c>
      <c r="F151">
        <v>3047</v>
      </c>
      <c r="G151">
        <v>0.13500000000000001</v>
      </c>
      <c r="H151">
        <v>10</v>
      </c>
      <c r="I151">
        <v>90.3</v>
      </c>
      <c r="J151">
        <v>6.62</v>
      </c>
      <c r="K151">
        <v>0</v>
      </c>
      <c r="L151">
        <v>4.2</v>
      </c>
      <c r="M151">
        <v>528852.62</v>
      </c>
      <c r="N151">
        <v>68426.210000000006</v>
      </c>
      <c r="O151">
        <f t="shared" si="6"/>
        <v>1</v>
      </c>
      <c r="P151">
        <f t="shared" si="8"/>
        <v>0</v>
      </c>
      <c r="Q151">
        <f t="shared" si="7"/>
        <v>0</v>
      </c>
    </row>
    <row r="152" spans="1:17">
      <c r="A152" t="s">
        <v>42</v>
      </c>
      <c r="B152" s="2">
        <v>45658</v>
      </c>
      <c r="C152" t="s">
        <v>27</v>
      </c>
      <c r="D152" t="s">
        <v>28</v>
      </c>
      <c r="E152">
        <v>60881.01</v>
      </c>
      <c r="F152">
        <v>5410</v>
      </c>
      <c r="G152">
        <v>0.17899999999999999</v>
      </c>
      <c r="H152">
        <v>15</v>
      </c>
      <c r="I152">
        <v>83.9</v>
      </c>
      <c r="J152">
        <v>5.24</v>
      </c>
      <c r="K152">
        <v>0</v>
      </c>
      <c r="L152">
        <v>4.5999999999999996</v>
      </c>
      <c r="M152">
        <v>621369.57999999996</v>
      </c>
      <c r="N152">
        <v>85493.64</v>
      </c>
      <c r="O152">
        <f t="shared" si="6"/>
        <v>0</v>
      </c>
      <c r="P152">
        <f t="shared" si="8"/>
        <v>1</v>
      </c>
      <c r="Q152">
        <f t="shared" si="7"/>
        <v>0</v>
      </c>
    </row>
    <row r="153" spans="1:17">
      <c r="A153" t="s">
        <v>25</v>
      </c>
      <c r="B153" s="2">
        <v>45689</v>
      </c>
      <c r="C153" t="s">
        <v>20</v>
      </c>
      <c r="D153" t="s">
        <v>16</v>
      </c>
      <c r="E153">
        <v>33518.879999999997</v>
      </c>
      <c r="F153">
        <v>2121</v>
      </c>
      <c r="G153">
        <v>0.17599999999999999</v>
      </c>
      <c r="H153">
        <v>8</v>
      </c>
      <c r="I153">
        <v>88.5</v>
      </c>
      <c r="J153">
        <v>0.2</v>
      </c>
      <c r="K153">
        <v>0</v>
      </c>
      <c r="L153">
        <v>5</v>
      </c>
      <c r="M153">
        <v>491905.13</v>
      </c>
      <c r="N153">
        <v>79212.259999999995</v>
      </c>
      <c r="O153">
        <f t="shared" si="6"/>
        <v>0</v>
      </c>
      <c r="P153">
        <f t="shared" si="8"/>
        <v>0</v>
      </c>
      <c r="Q153">
        <f t="shared" si="7"/>
        <v>0</v>
      </c>
    </row>
    <row r="154" spans="1:17">
      <c r="A154" t="s">
        <v>82</v>
      </c>
      <c r="B154" s="2">
        <v>45658</v>
      </c>
      <c r="C154" t="s">
        <v>24</v>
      </c>
      <c r="D154" t="s">
        <v>21</v>
      </c>
      <c r="E154">
        <v>69900.12</v>
      </c>
      <c r="F154">
        <v>8055</v>
      </c>
      <c r="G154">
        <v>0.28100000000000003</v>
      </c>
      <c r="H154">
        <v>22</v>
      </c>
      <c r="I154">
        <v>85.6</v>
      </c>
      <c r="J154">
        <v>10.68</v>
      </c>
      <c r="K154">
        <v>1</v>
      </c>
      <c r="L154">
        <v>2.9</v>
      </c>
      <c r="M154">
        <v>776992.93</v>
      </c>
      <c r="N154">
        <v>101598.32</v>
      </c>
      <c r="O154">
        <f t="shared" si="6"/>
        <v>0</v>
      </c>
      <c r="P154">
        <f t="shared" si="8"/>
        <v>0</v>
      </c>
      <c r="Q154">
        <f t="shared" si="7"/>
        <v>1</v>
      </c>
    </row>
    <row r="155" spans="1:17">
      <c r="A155" t="s">
        <v>101</v>
      </c>
      <c r="B155" s="2">
        <v>45689</v>
      </c>
      <c r="C155" t="s">
        <v>15</v>
      </c>
      <c r="D155" t="s">
        <v>16</v>
      </c>
      <c r="E155">
        <v>24088.06</v>
      </c>
      <c r="F155">
        <v>3466</v>
      </c>
      <c r="G155">
        <v>0</v>
      </c>
      <c r="H155">
        <v>11</v>
      </c>
      <c r="I155">
        <v>88</v>
      </c>
      <c r="J155">
        <v>0.2</v>
      </c>
      <c r="K155">
        <v>0</v>
      </c>
      <c r="L155">
        <v>3.8</v>
      </c>
      <c r="M155">
        <v>536845.42000000004</v>
      </c>
      <c r="N155">
        <v>107473.75</v>
      </c>
      <c r="O155">
        <f t="shared" si="6"/>
        <v>0</v>
      </c>
      <c r="P155">
        <f t="shared" si="8"/>
        <v>0</v>
      </c>
      <c r="Q155">
        <f t="shared" si="7"/>
        <v>0</v>
      </c>
    </row>
    <row r="156" spans="1:17">
      <c r="A156" t="s">
        <v>97</v>
      </c>
      <c r="B156" s="2">
        <v>45717</v>
      </c>
      <c r="C156" t="s">
        <v>20</v>
      </c>
      <c r="D156" t="s">
        <v>28</v>
      </c>
      <c r="E156">
        <v>52843.75</v>
      </c>
      <c r="F156">
        <v>8268</v>
      </c>
      <c r="G156">
        <v>0.13800000000000001</v>
      </c>
      <c r="H156">
        <v>19</v>
      </c>
      <c r="I156">
        <v>87.3</v>
      </c>
      <c r="J156">
        <v>4.3899999999999997</v>
      </c>
      <c r="K156">
        <v>1</v>
      </c>
      <c r="L156">
        <v>4.7</v>
      </c>
      <c r="M156">
        <v>730890.01</v>
      </c>
      <c r="N156">
        <v>105502.56</v>
      </c>
      <c r="O156">
        <f t="shared" si="6"/>
        <v>0</v>
      </c>
      <c r="P156">
        <f t="shared" si="8"/>
        <v>1</v>
      </c>
      <c r="Q156">
        <f t="shared" si="7"/>
        <v>0</v>
      </c>
    </row>
    <row r="157" spans="1:17">
      <c r="A157" t="s">
        <v>60</v>
      </c>
      <c r="B157" s="2">
        <v>45689</v>
      </c>
      <c r="C157" t="s">
        <v>15</v>
      </c>
      <c r="D157" t="s">
        <v>18</v>
      </c>
      <c r="E157">
        <v>64374.75</v>
      </c>
      <c r="F157">
        <v>6740</v>
      </c>
      <c r="G157">
        <v>0.16900000000000001</v>
      </c>
      <c r="H157">
        <v>18</v>
      </c>
      <c r="I157">
        <v>87</v>
      </c>
      <c r="J157">
        <v>2.09</v>
      </c>
      <c r="K157">
        <v>0</v>
      </c>
      <c r="L157">
        <v>4.2</v>
      </c>
      <c r="M157">
        <v>698492.67</v>
      </c>
      <c r="N157">
        <v>117319.32</v>
      </c>
      <c r="O157">
        <f t="shared" si="6"/>
        <v>1</v>
      </c>
      <c r="P157">
        <f t="shared" si="8"/>
        <v>0</v>
      </c>
      <c r="Q157">
        <f t="shared" si="7"/>
        <v>0</v>
      </c>
    </row>
    <row r="158" spans="1:17">
      <c r="A158" t="s">
        <v>87</v>
      </c>
      <c r="B158" s="2">
        <v>45689</v>
      </c>
      <c r="C158" t="s">
        <v>27</v>
      </c>
      <c r="D158" t="s">
        <v>18</v>
      </c>
      <c r="E158">
        <v>43288.2</v>
      </c>
      <c r="F158">
        <v>4783</v>
      </c>
      <c r="G158">
        <v>0.16900000000000001</v>
      </c>
      <c r="H158">
        <v>13</v>
      </c>
      <c r="I158">
        <v>87.3</v>
      </c>
      <c r="K158">
        <v>0</v>
      </c>
      <c r="L158">
        <v>4.2</v>
      </c>
      <c r="M158">
        <v>605751.32999999996</v>
      </c>
      <c r="N158">
        <v>60685.53</v>
      </c>
      <c r="O158">
        <f t="shared" si="6"/>
        <v>1</v>
      </c>
      <c r="P158">
        <f t="shared" si="8"/>
        <v>0</v>
      </c>
      <c r="Q158">
        <f t="shared" si="7"/>
        <v>0</v>
      </c>
    </row>
    <row r="159" spans="1:17">
      <c r="A159" t="s">
        <v>62</v>
      </c>
      <c r="B159" s="2">
        <v>45717</v>
      </c>
      <c r="C159" t="s">
        <v>24</v>
      </c>
      <c r="D159" t="s">
        <v>18</v>
      </c>
      <c r="E159">
        <v>57143.3</v>
      </c>
      <c r="F159">
        <v>8038</v>
      </c>
      <c r="G159">
        <v>0.193</v>
      </c>
      <c r="H159">
        <v>17</v>
      </c>
      <c r="I159">
        <v>72.599999999999994</v>
      </c>
      <c r="K159">
        <v>0</v>
      </c>
      <c r="L159">
        <v>4.2</v>
      </c>
      <c r="M159">
        <v>677096.71</v>
      </c>
      <c r="N159">
        <v>97174.11</v>
      </c>
      <c r="O159">
        <f t="shared" si="6"/>
        <v>1</v>
      </c>
      <c r="P159">
        <f t="shared" si="8"/>
        <v>0</v>
      </c>
      <c r="Q159">
        <f t="shared" si="7"/>
        <v>0</v>
      </c>
    </row>
    <row r="160" spans="1:17">
      <c r="A160" t="s">
        <v>66</v>
      </c>
      <c r="B160" s="2">
        <v>45658</v>
      </c>
      <c r="C160" t="s">
        <v>27</v>
      </c>
      <c r="D160" t="s">
        <v>21</v>
      </c>
      <c r="E160">
        <v>67494.09</v>
      </c>
      <c r="F160">
        <v>12361</v>
      </c>
      <c r="G160">
        <v>4.5999999999999999E-2</v>
      </c>
      <c r="H160">
        <v>24</v>
      </c>
      <c r="I160">
        <v>76.599999999999994</v>
      </c>
      <c r="J160">
        <v>3.65</v>
      </c>
      <c r="K160">
        <v>1</v>
      </c>
      <c r="L160">
        <v>3.7</v>
      </c>
      <c r="M160">
        <v>887537.75</v>
      </c>
      <c r="N160">
        <v>160362.92000000001</v>
      </c>
      <c r="O160">
        <f t="shared" si="6"/>
        <v>0</v>
      </c>
      <c r="P160">
        <f t="shared" si="8"/>
        <v>0</v>
      </c>
      <c r="Q160">
        <f t="shared" si="7"/>
        <v>1</v>
      </c>
    </row>
    <row r="161" spans="1:17">
      <c r="A161" t="s">
        <v>61</v>
      </c>
      <c r="B161" s="2">
        <v>45658</v>
      </c>
      <c r="C161" t="s">
        <v>20</v>
      </c>
      <c r="D161" t="s">
        <v>28</v>
      </c>
      <c r="E161">
        <v>86883.31</v>
      </c>
      <c r="F161">
        <v>6424</v>
      </c>
      <c r="G161">
        <v>5.7000000000000002E-2</v>
      </c>
      <c r="H161">
        <v>19</v>
      </c>
      <c r="I161">
        <v>85.2</v>
      </c>
      <c r="J161">
        <v>3.08</v>
      </c>
      <c r="K161">
        <v>0</v>
      </c>
      <c r="L161">
        <v>3.9</v>
      </c>
      <c r="M161">
        <v>700078.32</v>
      </c>
      <c r="N161">
        <v>123707.58</v>
      </c>
      <c r="O161">
        <f t="shared" si="6"/>
        <v>0</v>
      </c>
      <c r="P161">
        <f t="shared" si="8"/>
        <v>1</v>
      </c>
      <c r="Q161">
        <f t="shared" si="7"/>
        <v>0</v>
      </c>
    </row>
    <row r="162" spans="1:17">
      <c r="A162" t="s">
        <v>49</v>
      </c>
      <c r="B162" s="2">
        <v>45717</v>
      </c>
      <c r="C162" t="s">
        <v>15</v>
      </c>
      <c r="D162" t="s">
        <v>28</v>
      </c>
      <c r="E162">
        <v>51056.15</v>
      </c>
      <c r="F162">
        <v>5686</v>
      </c>
      <c r="G162">
        <v>8.8999999999999996E-2</v>
      </c>
      <c r="H162">
        <v>13</v>
      </c>
      <c r="I162">
        <v>89.9</v>
      </c>
      <c r="J162">
        <v>1.28</v>
      </c>
      <c r="K162">
        <v>0</v>
      </c>
      <c r="L162">
        <v>4.2</v>
      </c>
      <c r="M162">
        <v>633494.21</v>
      </c>
      <c r="N162">
        <v>105739.47</v>
      </c>
      <c r="O162">
        <f t="shared" si="6"/>
        <v>0</v>
      </c>
      <c r="P162">
        <f t="shared" si="8"/>
        <v>1</v>
      </c>
      <c r="Q162">
        <f t="shared" si="7"/>
        <v>0</v>
      </c>
    </row>
    <row r="163" spans="1:17">
      <c r="A163" t="s">
        <v>68</v>
      </c>
      <c r="B163" s="2">
        <v>45748</v>
      </c>
      <c r="C163" t="s">
        <v>20</v>
      </c>
      <c r="D163" t="s">
        <v>18</v>
      </c>
      <c r="E163">
        <v>72784.800000000003</v>
      </c>
      <c r="F163">
        <v>7932</v>
      </c>
      <c r="G163">
        <v>9.4E-2</v>
      </c>
      <c r="H163">
        <v>20</v>
      </c>
      <c r="I163">
        <v>74.900000000000006</v>
      </c>
      <c r="J163">
        <v>13.62</v>
      </c>
      <c r="K163">
        <v>0</v>
      </c>
      <c r="L163">
        <v>4.2</v>
      </c>
      <c r="M163">
        <v>712546.38</v>
      </c>
      <c r="N163">
        <v>101480.04</v>
      </c>
      <c r="O163">
        <f t="shared" si="6"/>
        <v>1</v>
      </c>
      <c r="P163">
        <f t="shared" si="8"/>
        <v>0</v>
      </c>
      <c r="Q163">
        <f t="shared" si="7"/>
        <v>0</v>
      </c>
    </row>
    <row r="164" spans="1:17">
      <c r="A164" t="s">
        <v>93</v>
      </c>
      <c r="B164" s="2">
        <v>45748</v>
      </c>
      <c r="C164" t="s">
        <v>27</v>
      </c>
      <c r="D164" t="s">
        <v>16</v>
      </c>
      <c r="E164">
        <v>40928.69</v>
      </c>
      <c r="F164">
        <v>4094</v>
      </c>
      <c r="G164">
        <v>0.17399999999999999</v>
      </c>
      <c r="H164">
        <v>13</v>
      </c>
      <c r="I164">
        <v>82.4</v>
      </c>
      <c r="J164">
        <v>1.36</v>
      </c>
      <c r="K164">
        <v>0</v>
      </c>
      <c r="L164">
        <v>4.8</v>
      </c>
      <c r="M164">
        <v>548103.69999999995</v>
      </c>
      <c r="N164">
        <v>99905.52</v>
      </c>
      <c r="O164">
        <f t="shared" si="6"/>
        <v>0</v>
      </c>
      <c r="P164">
        <f t="shared" si="8"/>
        <v>0</v>
      </c>
      <c r="Q164">
        <f t="shared" si="7"/>
        <v>0</v>
      </c>
    </row>
    <row r="165" spans="1:17">
      <c r="A165" t="s">
        <v>67</v>
      </c>
      <c r="B165" s="2">
        <v>45748</v>
      </c>
      <c r="C165" t="s">
        <v>27</v>
      </c>
      <c r="D165" t="s">
        <v>16</v>
      </c>
      <c r="E165">
        <v>57948.88</v>
      </c>
      <c r="F165">
        <v>10741</v>
      </c>
      <c r="G165">
        <v>7.0000000000000007E-2</v>
      </c>
      <c r="H165">
        <v>25</v>
      </c>
      <c r="I165">
        <v>90.1</v>
      </c>
      <c r="J165">
        <v>4.03</v>
      </c>
      <c r="K165">
        <v>0</v>
      </c>
      <c r="L165">
        <v>3.1</v>
      </c>
      <c r="M165">
        <v>819660.59</v>
      </c>
      <c r="N165">
        <v>172699.95</v>
      </c>
      <c r="O165">
        <f t="shared" si="6"/>
        <v>0</v>
      </c>
      <c r="P165">
        <f t="shared" si="8"/>
        <v>0</v>
      </c>
      <c r="Q165">
        <f t="shared" si="7"/>
        <v>0</v>
      </c>
    </row>
    <row r="166" spans="1:17">
      <c r="A166" t="s">
        <v>75</v>
      </c>
      <c r="B166" s="2">
        <v>45717</v>
      </c>
      <c r="C166" t="s">
        <v>27</v>
      </c>
      <c r="D166" t="s">
        <v>16</v>
      </c>
      <c r="E166">
        <v>35296.54</v>
      </c>
      <c r="F166">
        <v>9644</v>
      </c>
      <c r="G166">
        <v>0</v>
      </c>
      <c r="H166">
        <v>22</v>
      </c>
      <c r="I166">
        <v>88</v>
      </c>
      <c r="J166">
        <v>2.81</v>
      </c>
      <c r="K166">
        <v>0</v>
      </c>
      <c r="L166">
        <v>4.7</v>
      </c>
      <c r="M166">
        <v>752321.72</v>
      </c>
      <c r="N166">
        <v>137788.51</v>
      </c>
      <c r="O166">
        <f t="shared" si="6"/>
        <v>0</v>
      </c>
      <c r="P166">
        <f t="shared" si="8"/>
        <v>0</v>
      </c>
      <c r="Q166">
        <f t="shared" si="7"/>
        <v>0</v>
      </c>
    </row>
    <row r="167" spans="1:17">
      <c r="A167" t="s">
        <v>45</v>
      </c>
      <c r="B167" s="2">
        <v>45658</v>
      </c>
      <c r="C167" t="s">
        <v>27</v>
      </c>
      <c r="D167" t="s">
        <v>16</v>
      </c>
      <c r="E167">
        <v>38966.589999999997</v>
      </c>
      <c r="F167">
        <v>4509</v>
      </c>
      <c r="G167">
        <v>0.19400000000000001</v>
      </c>
      <c r="H167">
        <v>14</v>
      </c>
      <c r="I167">
        <v>91.1</v>
      </c>
      <c r="J167">
        <v>2.92</v>
      </c>
      <c r="K167">
        <v>0</v>
      </c>
      <c r="L167">
        <v>4.5999999999999996</v>
      </c>
      <c r="M167">
        <v>585937.48</v>
      </c>
      <c r="N167">
        <v>82624.2</v>
      </c>
      <c r="O167">
        <f t="shared" si="6"/>
        <v>0</v>
      </c>
      <c r="P167">
        <f t="shared" si="8"/>
        <v>0</v>
      </c>
      <c r="Q167">
        <f t="shared" si="7"/>
        <v>0</v>
      </c>
    </row>
    <row r="168" spans="1:17">
      <c r="A168" t="s">
        <v>70</v>
      </c>
      <c r="B168" s="2">
        <v>45717</v>
      </c>
      <c r="C168" t="s">
        <v>27</v>
      </c>
      <c r="D168" t="s">
        <v>16</v>
      </c>
      <c r="E168">
        <v>40220.18</v>
      </c>
      <c r="F168">
        <v>3783</v>
      </c>
      <c r="G168">
        <v>8.8999999999999996E-2</v>
      </c>
      <c r="H168">
        <v>14</v>
      </c>
      <c r="I168">
        <v>86.6</v>
      </c>
      <c r="J168">
        <v>3.63</v>
      </c>
      <c r="K168">
        <v>0</v>
      </c>
      <c r="L168">
        <v>3.7</v>
      </c>
      <c r="M168">
        <v>559422.02</v>
      </c>
      <c r="N168">
        <v>73528.740000000005</v>
      </c>
      <c r="O168">
        <f t="shared" si="6"/>
        <v>0</v>
      </c>
      <c r="P168">
        <f t="shared" si="8"/>
        <v>0</v>
      </c>
      <c r="Q168">
        <f t="shared" si="7"/>
        <v>0</v>
      </c>
    </row>
    <row r="169" spans="1:17">
      <c r="A169" t="s">
        <v>53</v>
      </c>
      <c r="B169" s="2">
        <v>45748</v>
      </c>
      <c r="C169" t="s">
        <v>24</v>
      </c>
      <c r="D169" t="s">
        <v>18</v>
      </c>
      <c r="E169">
        <v>37828.5</v>
      </c>
      <c r="F169">
        <v>8221</v>
      </c>
      <c r="G169">
        <v>9.6000000000000002E-2</v>
      </c>
      <c r="H169">
        <v>19</v>
      </c>
      <c r="I169">
        <v>81.5</v>
      </c>
      <c r="J169">
        <v>3.19</v>
      </c>
      <c r="K169">
        <v>0</v>
      </c>
      <c r="L169">
        <v>4.8</v>
      </c>
      <c r="M169">
        <v>697155.3</v>
      </c>
      <c r="N169">
        <v>136408.54</v>
      </c>
      <c r="O169">
        <f t="shared" si="6"/>
        <v>1</v>
      </c>
      <c r="P169">
        <f t="shared" si="8"/>
        <v>0</v>
      </c>
      <c r="Q169">
        <f t="shared" si="7"/>
        <v>0</v>
      </c>
    </row>
    <row r="170" spans="1:17">
      <c r="A170" t="s">
        <v>82</v>
      </c>
      <c r="B170" s="2">
        <v>45717</v>
      </c>
      <c r="C170" t="s">
        <v>24</v>
      </c>
      <c r="D170" t="s">
        <v>21</v>
      </c>
      <c r="E170">
        <v>70799.64</v>
      </c>
      <c r="F170">
        <v>10076</v>
      </c>
      <c r="G170">
        <v>0.152</v>
      </c>
      <c r="H170">
        <v>24</v>
      </c>
      <c r="I170">
        <v>84.8</v>
      </c>
      <c r="J170">
        <v>1.87</v>
      </c>
      <c r="K170">
        <v>0</v>
      </c>
      <c r="L170">
        <v>3.5</v>
      </c>
      <c r="M170">
        <v>828219.67</v>
      </c>
      <c r="N170">
        <v>179806.87</v>
      </c>
      <c r="O170">
        <f t="shared" si="6"/>
        <v>0</v>
      </c>
      <c r="P170">
        <f t="shared" si="8"/>
        <v>0</v>
      </c>
      <c r="Q170">
        <f t="shared" si="7"/>
        <v>1</v>
      </c>
    </row>
    <row r="171" spans="1:17">
      <c r="A171" t="s">
        <v>17</v>
      </c>
      <c r="B171" s="2">
        <v>45717</v>
      </c>
      <c r="C171" t="s">
        <v>15</v>
      </c>
      <c r="D171" t="s">
        <v>18</v>
      </c>
      <c r="E171">
        <v>46213.45</v>
      </c>
      <c r="F171">
        <v>10616</v>
      </c>
      <c r="G171">
        <v>0.122</v>
      </c>
      <c r="H171">
        <v>22</v>
      </c>
      <c r="I171">
        <v>85.2</v>
      </c>
      <c r="J171">
        <v>0.2</v>
      </c>
      <c r="K171">
        <v>1</v>
      </c>
      <c r="L171">
        <v>4.0999999999999996</v>
      </c>
      <c r="M171">
        <v>806615.54</v>
      </c>
      <c r="N171">
        <v>131364.62</v>
      </c>
      <c r="O171">
        <f t="shared" si="6"/>
        <v>1</v>
      </c>
      <c r="P171">
        <f t="shared" si="8"/>
        <v>0</v>
      </c>
      <c r="Q171">
        <f t="shared" si="7"/>
        <v>0</v>
      </c>
    </row>
    <row r="172" spans="1:17">
      <c r="A172" t="s">
        <v>58</v>
      </c>
      <c r="B172" s="2">
        <v>45748</v>
      </c>
      <c r="C172" t="s">
        <v>20</v>
      </c>
      <c r="D172" t="s">
        <v>16</v>
      </c>
      <c r="E172">
        <v>60322.400000000001</v>
      </c>
      <c r="F172">
        <v>3350</v>
      </c>
      <c r="G172">
        <v>0.108</v>
      </c>
      <c r="H172">
        <v>12</v>
      </c>
      <c r="I172">
        <v>89.4</v>
      </c>
      <c r="J172">
        <v>4.92</v>
      </c>
      <c r="K172">
        <v>0</v>
      </c>
      <c r="L172">
        <v>3.4</v>
      </c>
      <c r="M172">
        <v>570964.84</v>
      </c>
      <c r="N172">
        <v>81331.070000000007</v>
      </c>
      <c r="O172">
        <f t="shared" si="6"/>
        <v>0</v>
      </c>
      <c r="P172">
        <f t="shared" si="8"/>
        <v>0</v>
      </c>
      <c r="Q172">
        <f t="shared" si="7"/>
        <v>0</v>
      </c>
    </row>
    <row r="173" spans="1:17">
      <c r="A173" t="s">
        <v>48</v>
      </c>
      <c r="B173" s="2">
        <v>45748</v>
      </c>
      <c r="C173" t="s">
        <v>27</v>
      </c>
      <c r="D173" t="s">
        <v>18</v>
      </c>
      <c r="E173">
        <v>31042.03</v>
      </c>
      <c r="F173">
        <v>7107</v>
      </c>
      <c r="G173">
        <v>5.0999999999999997E-2</v>
      </c>
      <c r="H173">
        <v>15</v>
      </c>
      <c r="I173">
        <v>87</v>
      </c>
      <c r="J173">
        <v>13.33</v>
      </c>
      <c r="K173">
        <v>0</v>
      </c>
      <c r="L173">
        <v>3.2</v>
      </c>
      <c r="M173">
        <v>665594.93999999994</v>
      </c>
      <c r="N173">
        <v>127597.34</v>
      </c>
      <c r="O173">
        <f t="shared" si="6"/>
        <v>1</v>
      </c>
      <c r="P173">
        <f t="shared" si="8"/>
        <v>0</v>
      </c>
      <c r="Q173">
        <f t="shared" si="7"/>
        <v>0</v>
      </c>
    </row>
    <row r="174" spans="1:17">
      <c r="A174" t="s">
        <v>67</v>
      </c>
      <c r="B174" s="2">
        <v>45658</v>
      </c>
      <c r="C174" t="s">
        <v>27</v>
      </c>
      <c r="D174" t="s">
        <v>16</v>
      </c>
      <c r="E174">
        <v>68491.11</v>
      </c>
      <c r="F174">
        <v>11154</v>
      </c>
      <c r="G174">
        <v>1E-3</v>
      </c>
      <c r="H174">
        <v>24</v>
      </c>
      <c r="I174">
        <v>89.4</v>
      </c>
      <c r="J174">
        <v>5.27</v>
      </c>
      <c r="K174">
        <v>1</v>
      </c>
      <c r="L174">
        <v>3.9</v>
      </c>
      <c r="M174">
        <v>855341.28</v>
      </c>
      <c r="N174">
        <v>175823.8</v>
      </c>
      <c r="O174">
        <f t="shared" si="6"/>
        <v>0</v>
      </c>
      <c r="P174">
        <f t="shared" si="8"/>
        <v>0</v>
      </c>
      <c r="Q174">
        <f t="shared" si="7"/>
        <v>0</v>
      </c>
    </row>
    <row r="175" spans="1:17">
      <c r="A175" t="s">
        <v>22</v>
      </c>
      <c r="B175" s="2">
        <v>45717</v>
      </c>
      <c r="C175" t="s">
        <v>15</v>
      </c>
      <c r="D175" t="s">
        <v>16</v>
      </c>
      <c r="E175">
        <v>59909.51</v>
      </c>
      <c r="F175">
        <v>8895</v>
      </c>
      <c r="G175">
        <v>0.22800000000000001</v>
      </c>
      <c r="H175">
        <v>23</v>
      </c>
      <c r="I175">
        <v>88.8</v>
      </c>
      <c r="J175">
        <v>0.27</v>
      </c>
      <c r="K175">
        <v>0</v>
      </c>
      <c r="L175">
        <v>4.3</v>
      </c>
      <c r="M175">
        <v>746501.09</v>
      </c>
      <c r="N175">
        <v>136816.72</v>
      </c>
      <c r="O175">
        <f t="shared" si="6"/>
        <v>0</v>
      </c>
      <c r="P175">
        <f t="shared" si="8"/>
        <v>0</v>
      </c>
      <c r="Q175">
        <f t="shared" si="7"/>
        <v>0</v>
      </c>
    </row>
    <row r="176" spans="1:17">
      <c r="A176" t="s">
        <v>26</v>
      </c>
      <c r="B176" s="2">
        <v>45658</v>
      </c>
      <c r="C176" t="s">
        <v>27</v>
      </c>
      <c r="D176" t="s">
        <v>28</v>
      </c>
      <c r="E176">
        <v>57696.69</v>
      </c>
      <c r="F176">
        <v>10218</v>
      </c>
      <c r="G176">
        <v>0.121</v>
      </c>
      <c r="H176">
        <v>25</v>
      </c>
      <c r="I176">
        <v>94.8</v>
      </c>
      <c r="J176">
        <v>2.99</v>
      </c>
      <c r="K176">
        <v>0</v>
      </c>
      <c r="L176">
        <v>3.5</v>
      </c>
      <c r="M176">
        <v>811771.14</v>
      </c>
      <c r="N176">
        <v>148756.24</v>
      </c>
      <c r="O176">
        <f t="shared" si="6"/>
        <v>0</v>
      </c>
      <c r="P176">
        <f t="shared" si="8"/>
        <v>1</v>
      </c>
      <c r="Q176">
        <f t="shared" si="7"/>
        <v>0</v>
      </c>
    </row>
    <row r="177" spans="1:17">
      <c r="A177" t="s">
        <v>96</v>
      </c>
      <c r="B177" s="2">
        <v>45658</v>
      </c>
      <c r="C177" t="s">
        <v>27</v>
      </c>
      <c r="D177" t="s">
        <v>18</v>
      </c>
      <c r="E177">
        <v>55599.56</v>
      </c>
      <c r="F177">
        <v>5896</v>
      </c>
      <c r="G177">
        <v>3.5999999999999997E-2</v>
      </c>
      <c r="H177">
        <v>12</v>
      </c>
      <c r="I177">
        <v>93.1</v>
      </c>
      <c r="J177">
        <v>6.13</v>
      </c>
      <c r="K177">
        <v>0</v>
      </c>
      <c r="L177">
        <v>3.3</v>
      </c>
      <c r="M177">
        <v>668459.37</v>
      </c>
      <c r="N177">
        <v>126435.42</v>
      </c>
      <c r="O177">
        <f t="shared" si="6"/>
        <v>1</v>
      </c>
      <c r="P177">
        <f t="shared" si="8"/>
        <v>0</v>
      </c>
      <c r="Q177">
        <f t="shared" si="7"/>
        <v>0</v>
      </c>
    </row>
    <row r="178" spans="1:17">
      <c r="A178" t="s">
        <v>95</v>
      </c>
      <c r="B178" s="2">
        <v>45717</v>
      </c>
      <c r="C178" t="s">
        <v>27</v>
      </c>
      <c r="D178" t="s">
        <v>18</v>
      </c>
      <c r="E178">
        <v>59825.51</v>
      </c>
      <c r="F178">
        <v>1231</v>
      </c>
      <c r="G178">
        <v>0.214</v>
      </c>
      <c r="H178">
        <v>10</v>
      </c>
      <c r="I178">
        <v>84.8</v>
      </c>
      <c r="J178">
        <v>8.9600000000000009</v>
      </c>
      <c r="K178">
        <v>0</v>
      </c>
      <c r="L178">
        <v>4.7</v>
      </c>
      <c r="M178">
        <v>498970.32</v>
      </c>
      <c r="N178">
        <v>69656.7</v>
      </c>
      <c r="O178">
        <f t="shared" si="6"/>
        <v>1</v>
      </c>
      <c r="P178">
        <f t="shared" si="8"/>
        <v>0</v>
      </c>
      <c r="Q178">
        <f t="shared" si="7"/>
        <v>0</v>
      </c>
    </row>
    <row r="179" spans="1:17">
      <c r="A179" t="s">
        <v>54</v>
      </c>
      <c r="B179" s="2">
        <v>45658</v>
      </c>
      <c r="C179" t="s">
        <v>15</v>
      </c>
      <c r="D179" t="s">
        <v>18</v>
      </c>
      <c r="E179">
        <v>66250.53</v>
      </c>
      <c r="F179">
        <v>10618</v>
      </c>
      <c r="G179">
        <v>0.14199999999999999</v>
      </c>
      <c r="H179">
        <v>27</v>
      </c>
      <c r="I179">
        <v>88.3</v>
      </c>
      <c r="J179">
        <v>1.1000000000000001</v>
      </c>
      <c r="K179">
        <v>1</v>
      </c>
      <c r="L179">
        <v>4.4000000000000004</v>
      </c>
      <c r="M179">
        <v>849018.3</v>
      </c>
      <c r="N179">
        <v>149035.13</v>
      </c>
      <c r="O179">
        <f t="shared" si="6"/>
        <v>1</v>
      </c>
      <c r="P179">
        <f t="shared" si="8"/>
        <v>0</v>
      </c>
      <c r="Q179">
        <f t="shared" si="7"/>
        <v>0</v>
      </c>
    </row>
    <row r="180" spans="1:17">
      <c r="A180" t="s">
        <v>64</v>
      </c>
      <c r="B180" s="2">
        <v>45748</v>
      </c>
      <c r="C180" t="s">
        <v>15</v>
      </c>
      <c r="D180" t="s">
        <v>16</v>
      </c>
      <c r="E180">
        <v>36606.51</v>
      </c>
      <c r="F180">
        <v>7671</v>
      </c>
      <c r="G180">
        <v>0.11799999999999999</v>
      </c>
      <c r="H180">
        <v>18</v>
      </c>
      <c r="I180">
        <v>89.8</v>
      </c>
      <c r="J180">
        <v>0.25</v>
      </c>
      <c r="K180">
        <v>0</v>
      </c>
      <c r="L180">
        <v>4.4000000000000004</v>
      </c>
      <c r="M180">
        <v>679731.57</v>
      </c>
      <c r="N180">
        <v>121546.42</v>
      </c>
      <c r="O180">
        <f t="shared" si="6"/>
        <v>0</v>
      </c>
      <c r="P180">
        <f t="shared" si="8"/>
        <v>0</v>
      </c>
      <c r="Q180">
        <f t="shared" si="7"/>
        <v>0</v>
      </c>
    </row>
    <row r="181" spans="1:17">
      <c r="A181" t="s">
        <v>30</v>
      </c>
      <c r="B181" s="2">
        <v>45717</v>
      </c>
      <c r="C181" t="s">
        <v>20</v>
      </c>
      <c r="D181" t="s">
        <v>16</v>
      </c>
      <c r="E181">
        <v>74413.88</v>
      </c>
      <c r="F181">
        <v>9449</v>
      </c>
      <c r="G181">
        <v>3.9E-2</v>
      </c>
      <c r="H181">
        <v>23</v>
      </c>
      <c r="I181">
        <v>92.1</v>
      </c>
      <c r="J181">
        <v>2.12</v>
      </c>
      <c r="K181">
        <v>0</v>
      </c>
      <c r="L181">
        <v>3.5</v>
      </c>
      <c r="M181">
        <v>798952.17</v>
      </c>
      <c r="N181">
        <v>161499.04</v>
      </c>
      <c r="O181">
        <f t="shared" si="6"/>
        <v>0</v>
      </c>
      <c r="P181">
        <f t="shared" si="8"/>
        <v>0</v>
      </c>
      <c r="Q181">
        <f t="shared" si="7"/>
        <v>0</v>
      </c>
    </row>
    <row r="182" spans="1:17">
      <c r="A182" t="s">
        <v>67</v>
      </c>
      <c r="B182" s="2">
        <v>45717</v>
      </c>
      <c r="C182" t="s">
        <v>27</v>
      </c>
      <c r="D182" t="s">
        <v>16</v>
      </c>
      <c r="E182">
        <v>63010.23</v>
      </c>
      <c r="F182">
        <v>9812</v>
      </c>
      <c r="G182">
        <v>0.113</v>
      </c>
      <c r="H182">
        <v>24</v>
      </c>
      <c r="I182">
        <v>76.8</v>
      </c>
      <c r="J182">
        <v>1.02</v>
      </c>
      <c r="K182">
        <v>1</v>
      </c>
      <c r="L182">
        <v>3.8</v>
      </c>
      <c r="M182">
        <v>761077.08</v>
      </c>
      <c r="N182">
        <v>113605.93</v>
      </c>
      <c r="O182">
        <f t="shared" si="6"/>
        <v>0</v>
      </c>
      <c r="P182">
        <f t="shared" si="8"/>
        <v>0</v>
      </c>
      <c r="Q182">
        <f t="shared" si="7"/>
        <v>0</v>
      </c>
    </row>
    <row r="183" spans="1:17">
      <c r="A183" t="s">
        <v>99</v>
      </c>
      <c r="B183" s="2">
        <v>45717</v>
      </c>
      <c r="C183" t="s">
        <v>24</v>
      </c>
      <c r="D183" t="s">
        <v>18</v>
      </c>
      <c r="E183">
        <v>54322.94</v>
      </c>
      <c r="F183">
        <v>5434</v>
      </c>
      <c r="G183">
        <v>0.2</v>
      </c>
      <c r="H183">
        <v>13</v>
      </c>
      <c r="I183">
        <v>85.7</v>
      </c>
      <c r="J183">
        <v>10.6</v>
      </c>
      <c r="K183">
        <v>0</v>
      </c>
      <c r="L183">
        <v>4.2</v>
      </c>
      <c r="M183">
        <v>621677.30000000005</v>
      </c>
      <c r="N183">
        <v>105192.52</v>
      </c>
      <c r="O183">
        <f t="shared" si="6"/>
        <v>1</v>
      </c>
      <c r="P183">
        <f t="shared" si="8"/>
        <v>0</v>
      </c>
      <c r="Q183">
        <f t="shared" si="7"/>
        <v>0</v>
      </c>
    </row>
    <row r="184" spans="1:17">
      <c r="A184" t="s">
        <v>43</v>
      </c>
      <c r="B184" s="2">
        <v>45717</v>
      </c>
      <c r="C184" t="s">
        <v>27</v>
      </c>
      <c r="D184" t="s">
        <v>18</v>
      </c>
      <c r="E184">
        <v>78231.91</v>
      </c>
      <c r="F184">
        <v>3788</v>
      </c>
      <c r="G184">
        <v>5.8999999999999997E-2</v>
      </c>
      <c r="H184">
        <v>11</v>
      </c>
      <c r="I184">
        <v>88.5</v>
      </c>
      <c r="J184">
        <v>15.51</v>
      </c>
      <c r="K184">
        <v>0</v>
      </c>
      <c r="L184">
        <v>4.3</v>
      </c>
      <c r="M184">
        <v>614596.31999999995</v>
      </c>
      <c r="N184">
        <v>131199.41</v>
      </c>
      <c r="O184">
        <f t="shared" si="6"/>
        <v>1</v>
      </c>
      <c r="P184">
        <f t="shared" si="8"/>
        <v>0</v>
      </c>
      <c r="Q184">
        <f t="shared" si="7"/>
        <v>0</v>
      </c>
    </row>
    <row r="185" spans="1:17">
      <c r="A185" t="s">
        <v>92</v>
      </c>
      <c r="B185" s="2">
        <v>45748</v>
      </c>
      <c r="C185" t="s">
        <v>24</v>
      </c>
      <c r="D185" t="s">
        <v>18</v>
      </c>
      <c r="E185">
        <v>18599.21</v>
      </c>
      <c r="F185">
        <v>3027</v>
      </c>
      <c r="G185">
        <v>0.122</v>
      </c>
      <c r="H185">
        <v>11</v>
      </c>
      <c r="I185">
        <v>80.900000000000006</v>
      </c>
      <c r="J185">
        <v>6.44</v>
      </c>
      <c r="K185">
        <v>0</v>
      </c>
      <c r="L185">
        <v>4.2</v>
      </c>
      <c r="M185">
        <v>497439.82</v>
      </c>
      <c r="N185">
        <v>93372.75</v>
      </c>
      <c r="O185">
        <f t="shared" si="6"/>
        <v>1</v>
      </c>
      <c r="P185">
        <f t="shared" si="8"/>
        <v>0</v>
      </c>
      <c r="Q185">
        <f t="shared" si="7"/>
        <v>0</v>
      </c>
    </row>
    <row r="186" spans="1:17">
      <c r="A186" t="s">
        <v>90</v>
      </c>
      <c r="B186" s="2">
        <v>45658</v>
      </c>
      <c r="C186" t="s">
        <v>27</v>
      </c>
      <c r="D186" t="s">
        <v>18</v>
      </c>
      <c r="E186">
        <v>50532.17</v>
      </c>
      <c r="F186">
        <v>5689</v>
      </c>
      <c r="G186">
        <v>5.1999999999999998E-2</v>
      </c>
      <c r="H186">
        <v>17</v>
      </c>
      <c r="I186">
        <v>85.6</v>
      </c>
      <c r="J186">
        <v>6.23</v>
      </c>
      <c r="K186">
        <v>0</v>
      </c>
      <c r="L186">
        <v>3.3</v>
      </c>
      <c r="M186">
        <v>645039.97</v>
      </c>
      <c r="N186">
        <v>83093.33</v>
      </c>
      <c r="O186">
        <f t="shared" si="6"/>
        <v>1</v>
      </c>
      <c r="P186">
        <f t="shared" si="8"/>
        <v>0</v>
      </c>
      <c r="Q186">
        <f t="shared" si="7"/>
        <v>0</v>
      </c>
    </row>
    <row r="187" spans="1:17">
      <c r="A187" t="s">
        <v>23</v>
      </c>
      <c r="B187" s="2">
        <v>45748</v>
      </c>
      <c r="C187" t="s">
        <v>24</v>
      </c>
      <c r="D187" t="s">
        <v>16</v>
      </c>
      <c r="E187">
        <v>41441.93</v>
      </c>
      <c r="F187">
        <v>4865</v>
      </c>
      <c r="G187">
        <v>0.158</v>
      </c>
      <c r="H187">
        <v>16</v>
      </c>
      <c r="I187">
        <v>88.3</v>
      </c>
      <c r="J187">
        <v>0.5</v>
      </c>
      <c r="K187">
        <v>0</v>
      </c>
      <c r="L187">
        <v>4</v>
      </c>
      <c r="M187">
        <v>591619.94999999995</v>
      </c>
      <c r="N187">
        <v>99521.35</v>
      </c>
      <c r="O187">
        <f t="shared" si="6"/>
        <v>0</v>
      </c>
      <c r="P187">
        <f t="shared" si="8"/>
        <v>0</v>
      </c>
      <c r="Q187">
        <f t="shared" si="7"/>
        <v>0</v>
      </c>
    </row>
    <row r="188" spans="1:17">
      <c r="A188" t="s">
        <v>54</v>
      </c>
      <c r="B188" s="2">
        <v>45689</v>
      </c>
      <c r="C188" t="s">
        <v>15</v>
      </c>
      <c r="D188" t="s">
        <v>18</v>
      </c>
      <c r="E188">
        <v>68410.929999999993</v>
      </c>
      <c r="F188">
        <v>10596</v>
      </c>
      <c r="G188">
        <v>0.20699999999999999</v>
      </c>
      <c r="H188">
        <v>25</v>
      </c>
      <c r="I188">
        <v>81.2</v>
      </c>
      <c r="J188">
        <v>0.21</v>
      </c>
      <c r="K188">
        <v>0</v>
      </c>
      <c r="L188">
        <v>4</v>
      </c>
      <c r="M188">
        <v>801830.35</v>
      </c>
      <c r="N188">
        <v>114875.32</v>
      </c>
      <c r="O188">
        <f t="shared" si="6"/>
        <v>1</v>
      </c>
      <c r="P188">
        <f t="shared" si="8"/>
        <v>0</v>
      </c>
      <c r="Q188">
        <f t="shared" si="7"/>
        <v>0</v>
      </c>
    </row>
    <row r="189" spans="1:17">
      <c r="A189" t="s">
        <v>60</v>
      </c>
      <c r="B189" s="2">
        <v>45748</v>
      </c>
      <c r="C189" t="s">
        <v>15</v>
      </c>
      <c r="D189" t="s">
        <v>18</v>
      </c>
      <c r="E189">
        <v>42698.14</v>
      </c>
      <c r="F189">
        <v>7693</v>
      </c>
      <c r="G189">
        <v>0.187</v>
      </c>
      <c r="H189">
        <v>19</v>
      </c>
      <c r="I189">
        <v>90.1</v>
      </c>
      <c r="J189">
        <v>0.44</v>
      </c>
      <c r="K189">
        <v>0</v>
      </c>
      <c r="L189">
        <v>4.4000000000000004</v>
      </c>
      <c r="M189">
        <v>702318.94</v>
      </c>
      <c r="N189">
        <v>112829.29</v>
      </c>
      <c r="O189">
        <f t="shared" si="6"/>
        <v>1</v>
      </c>
      <c r="P189">
        <f t="shared" si="8"/>
        <v>0</v>
      </c>
      <c r="Q189">
        <f t="shared" si="7"/>
        <v>0</v>
      </c>
    </row>
    <row r="190" spans="1:17">
      <c r="A190" t="s">
        <v>58</v>
      </c>
      <c r="B190" s="2">
        <v>45717</v>
      </c>
      <c r="C190" t="s">
        <v>20</v>
      </c>
      <c r="D190" t="s">
        <v>16</v>
      </c>
      <c r="E190">
        <v>53351.7</v>
      </c>
      <c r="F190">
        <v>4259</v>
      </c>
      <c r="G190">
        <v>0.156</v>
      </c>
      <c r="H190">
        <v>15</v>
      </c>
      <c r="I190">
        <v>93.7</v>
      </c>
      <c r="J190">
        <v>6.03</v>
      </c>
      <c r="K190">
        <v>0</v>
      </c>
      <c r="L190">
        <v>3.4</v>
      </c>
      <c r="M190">
        <v>601568.87</v>
      </c>
      <c r="N190">
        <v>91634.82</v>
      </c>
      <c r="O190">
        <f t="shared" si="6"/>
        <v>0</v>
      </c>
      <c r="P190">
        <f t="shared" si="8"/>
        <v>0</v>
      </c>
      <c r="Q190">
        <f t="shared" si="7"/>
        <v>0</v>
      </c>
    </row>
    <row r="191" spans="1:17">
      <c r="A191" t="s">
        <v>23</v>
      </c>
      <c r="B191" s="2">
        <v>45658</v>
      </c>
      <c r="C191" t="s">
        <v>24</v>
      </c>
      <c r="D191" t="s">
        <v>16</v>
      </c>
      <c r="E191">
        <v>48804.22</v>
      </c>
      <c r="F191">
        <v>7057</v>
      </c>
      <c r="G191">
        <v>5.0000000000000001E-3</v>
      </c>
      <c r="H191">
        <v>15</v>
      </c>
      <c r="I191">
        <v>87.7</v>
      </c>
      <c r="J191">
        <v>1.22</v>
      </c>
      <c r="K191">
        <v>0</v>
      </c>
      <c r="L191">
        <v>3.7</v>
      </c>
      <c r="M191">
        <v>666152.52</v>
      </c>
      <c r="N191">
        <v>107490.58</v>
      </c>
      <c r="O191">
        <f t="shared" si="6"/>
        <v>0</v>
      </c>
      <c r="P191">
        <f t="shared" si="8"/>
        <v>0</v>
      </c>
      <c r="Q191">
        <f t="shared" si="7"/>
        <v>0</v>
      </c>
    </row>
    <row r="192" spans="1:17">
      <c r="A192" t="s">
        <v>94</v>
      </c>
      <c r="B192" s="2">
        <v>45748</v>
      </c>
      <c r="C192" t="s">
        <v>15</v>
      </c>
      <c r="D192" t="s">
        <v>16</v>
      </c>
      <c r="E192">
        <v>54080.91</v>
      </c>
      <c r="F192">
        <v>7083</v>
      </c>
      <c r="G192">
        <v>0</v>
      </c>
      <c r="H192">
        <v>15</v>
      </c>
      <c r="I192">
        <v>97</v>
      </c>
      <c r="J192">
        <v>5.33</v>
      </c>
      <c r="K192">
        <v>0</v>
      </c>
      <c r="L192">
        <v>4.0999999999999996</v>
      </c>
      <c r="M192">
        <v>702068.92</v>
      </c>
      <c r="N192">
        <v>111266.63</v>
      </c>
      <c r="O192">
        <f t="shared" si="6"/>
        <v>0</v>
      </c>
      <c r="P192">
        <f t="shared" si="8"/>
        <v>0</v>
      </c>
      <c r="Q192">
        <f t="shared" si="7"/>
        <v>0</v>
      </c>
    </row>
    <row r="193" spans="1:17">
      <c r="A193" t="s">
        <v>76</v>
      </c>
      <c r="B193" s="2">
        <v>45748</v>
      </c>
      <c r="C193" t="s">
        <v>20</v>
      </c>
      <c r="D193" t="s">
        <v>21</v>
      </c>
      <c r="E193">
        <v>16451.849999999999</v>
      </c>
      <c r="F193">
        <v>4678</v>
      </c>
      <c r="G193">
        <v>0.13300000000000001</v>
      </c>
      <c r="H193">
        <v>11</v>
      </c>
      <c r="I193">
        <v>95.9</v>
      </c>
      <c r="J193">
        <v>3.1</v>
      </c>
      <c r="K193">
        <v>0</v>
      </c>
      <c r="L193">
        <v>3.9</v>
      </c>
      <c r="M193">
        <v>606278.30000000005</v>
      </c>
      <c r="N193">
        <v>102213.26</v>
      </c>
      <c r="O193">
        <f t="shared" si="6"/>
        <v>0</v>
      </c>
      <c r="P193">
        <f t="shared" si="8"/>
        <v>0</v>
      </c>
      <c r="Q193">
        <f t="shared" si="7"/>
        <v>1</v>
      </c>
    </row>
    <row r="194" spans="1:17">
      <c r="A194" t="s">
        <v>63</v>
      </c>
      <c r="B194" s="2">
        <v>45689</v>
      </c>
      <c r="C194" t="s">
        <v>20</v>
      </c>
      <c r="D194" t="s">
        <v>28</v>
      </c>
      <c r="E194">
        <v>35303.300000000003</v>
      </c>
      <c r="F194">
        <v>8789</v>
      </c>
      <c r="G194">
        <v>0.123</v>
      </c>
      <c r="H194">
        <v>22</v>
      </c>
      <c r="I194">
        <v>86.1</v>
      </c>
      <c r="J194">
        <v>9.43</v>
      </c>
      <c r="K194">
        <v>0</v>
      </c>
      <c r="L194">
        <v>4.2</v>
      </c>
      <c r="M194">
        <v>706285.52</v>
      </c>
      <c r="N194">
        <v>138014.72</v>
      </c>
      <c r="O194">
        <f t="shared" ref="O194:O257" si="9">IF(D194="High Street",1,0)</f>
        <v>0</v>
      </c>
      <c r="P194">
        <f t="shared" si="8"/>
        <v>1</v>
      </c>
      <c r="Q194">
        <f t="shared" ref="Q194:Q257" si="10">IF(D194="Airport",1,0)</f>
        <v>0</v>
      </c>
    </row>
    <row r="195" spans="1:17">
      <c r="A195" t="s">
        <v>73</v>
      </c>
      <c r="B195" s="2">
        <v>45658</v>
      </c>
      <c r="C195" t="s">
        <v>15</v>
      </c>
      <c r="D195" t="s">
        <v>28</v>
      </c>
      <c r="E195">
        <v>92090.14</v>
      </c>
      <c r="F195">
        <v>9476</v>
      </c>
      <c r="G195">
        <v>7.0000000000000007E-2</v>
      </c>
      <c r="H195">
        <v>24</v>
      </c>
      <c r="I195">
        <v>94.3</v>
      </c>
      <c r="J195">
        <v>0.87</v>
      </c>
      <c r="K195">
        <v>0</v>
      </c>
      <c r="L195">
        <v>3.7</v>
      </c>
      <c r="M195">
        <v>825060.52</v>
      </c>
      <c r="N195">
        <v>143613.15</v>
      </c>
      <c r="O195">
        <f t="shared" si="9"/>
        <v>0</v>
      </c>
      <c r="P195">
        <f t="shared" ref="P195:P258" si="11">IF(D195="Mall",1,0)</f>
        <v>1</v>
      </c>
      <c r="Q195">
        <f t="shared" si="10"/>
        <v>0</v>
      </c>
    </row>
    <row r="196" spans="1:17">
      <c r="A196" t="s">
        <v>45</v>
      </c>
      <c r="B196" s="2">
        <v>45748</v>
      </c>
      <c r="C196" t="s">
        <v>27</v>
      </c>
      <c r="D196" t="s">
        <v>16</v>
      </c>
      <c r="E196">
        <v>9534.65</v>
      </c>
      <c r="F196">
        <v>6057</v>
      </c>
      <c r="G196">
        <v>7.3999999999999996E-2</v>
      </c>
      <c r="H196">
        <v>15</v>
      </c>
      <c r="I196">
        <v>94.1</v>
      </c>
      <c r="J196">
        <v>5.79</v>
      </c>
      <c r="K196">
        <v>0</v>
      </c>
      <c r="L196">
        <v>4.5</v>
      </c>
      <c r="M196">
        <v>607898.12</v>
      </c>
      <c r="N196">
        <v>135404.85</v>
      </c>
      <c r="O196">
        <f t="shared" si="9"/>
        <v>0</v>
      </c>
      <c r="P196">
        <f t="shared" si="11"/>
        <v>0</v>
      </c>
      <c r="Q196">
        <f t="shared" si="10"/>
        <v>0</v>
      </c>
    </row>
    <row r="197" spans="1:17">
      <c r="A197" t="s">
        <v>69</v>
      </c>
      <c r="B197" s="2">
        <v>45689</v>
      </c>
      <c r="C197" t="s">
        <v>15</v>
      </c>
      <c r="D197" t="s">
        <v>18</v>
      </c>
      <c r="E197">
        <v>55788.61</v>
      </c>
      <c r="F197">
        <v>2312</v>
      </c>
      <c r="G197">
        <v>5.8000000000000003E-2</v>
      </c>
      <c r="H197">
        <v>10</v>
      </c>
      <c r="I197">
        <v>91.3</v>
      </c>
      <c r="J197">
        <v>1.99</v>
      </c>
      <c r="K197">
        <v>0</v>
      </c>
      <c r="L197">
        <v>3.8</v>
      </c>
      <c r="M197">
        <v>550962.93000000005</v>
      </c>
      <c r="N197">
        <v>97144.58</v>
      </c>
      <c r="O197">
        <f t="shared" si="9"/>
        <v>1</v>
      </c>
      <c r="P197">
        <f t="shared" si="11"/>
        <v>0</v>
      </c>
      <c r="Q197">
        <f t="shared" si="10"/>
        <v>0</v>
      </c>
    </row>
    <row r="198" spans="1:17">
      <c r="A198" t="s">
        <v>23</v>
      </c>
      <c r="B198" s="2">
        <v>45689</v>
      </c>
      <c r="C198" t="s">
        <v>24</v>
      </c>
      <c r="D198" t="s">
        <v>16</v>
      </c>
      <c r="E198">
        <v>59117.9</v>
      </c>
      <c r="F198">
        <v>4263</v>
      </c>
      <c r="G198">
        <v>0.11899999999999999</v>
      </c>
      <c r="H198">
        <v>9</v>
      </c>
      <c r="I198">
        <v>87.6</v>
      </c>
      <c r="J198">
        <v>4.01</v>
      </c>
      <c r="K198">
        <v>0</v>
      </c>
      <c r="L198">
        <v>3.6</v>
      </c>
      <c r="M198">
        <v>573155.18999999994</v>
      </c>
      <c r="N198">
        <v>83680.75</v>
      </c>
      <c r="O198">
        <f t="shared" si="9"/>
        <v>0</v>
      </c>
      <c r="P198">
        <f t="shared" si="11"/>
        <v>0</v>
      </c>
      <c r="Q198">
        <f t="shared" si="10"/>
        <v>0</v>
      </c>
    </row>
    <row r="199" spans="1:17">
      <c r="A199" t="s">
        <v>83</v>
      </c>
      <c r="B199" s="2">
        <v>45689</v>
      </c>
      <c r="C199" t="s">
        <v>15</v>
      </c>
      <c r="D199" t="s">
        <v>18</v>
      </c>
      <c r="E199">
        <v>48060.78</v>
      </c>
      <c r="F199">
        <v>8733</v>
      </c>
      <c r="G199">
        <v>0</v>
      </c>
      <c r="H199">
        <v>20</v>
      </c>
      <c r="I199">
        <v>89.9</v>
      </c>
      <c r="J199">
        <v>0.8</v>
      </c>
      <c r="K199">
        <v>0</v>
      </c>
      <c r="L199">
        <v>3.4</v>
      </c>
      <c r="M199">
        <v>750471.34</v>
      </c>
      <c r="N199">
        <v>133788.04</v>
      </c>
      <c r="O199">
        <f t="shared" si="9"/>
        <v>1</v>
      </c>
      <c r="P199">
        <f t="shared" si="11"/>
        <v>0</v>
      </c>
      <c r="Q199">
        <f t="shared" si="10"/>
        <v>0</v>
      </c>
    </row>
    <row r="200" spans="1:17">
      <c r="A200" t="s">
        <v>37</v>
      </c>
      <c r="B200" s="2">
        <v>45717</v>
      </c>
      <c r="C200" t="s">
        <v>24</v>
      </c>
      <c r="D200" t="s">
        <v>18</v>
      </c>
      <c r="E200">
        <v>50343.19</v>
      </c>
      <c r="F200">
        <v>3845</v>
      </c>
      <c r="G200">
        <v>0.113</v>
      </c>
      <c r="H200">
        <v>9</v>
      </c>
      <c r="I200">
        <v>88.7</v>
      </c>
      <c r="J200">
        <v>5.15</v>
      </c>
      <c r="K200">
        <v>0</v>
      </c>
      <c r="L200">
        <v>3.3</v>
      </c>
      <c r="M200">
        <v>572011.19999999995</v>
      </c>
      <c r="N200">
        <v>101409.68</v>
      </c>
      <c r="O200">
        <f t="shared" si="9"/>
        <v>1</v>
      </c>
      <c r="P200">
        <f t="shared" si="11"/>
        <v>0</v>
      </c>
      <c r="Q200">
        <f t="shared" si="10"/>
        <v>0</v>
      </c>
    </row>
    <row r="201" spans="1:17">
      <c r="A201" t="s">
        <v>99</v>
      </c>
      <c r="B201" s="2">
        <v>45658</v>
      </c>
      <c r="C201" t="s">
        <v>24</v>
      </c>
      <c r="D201" t="s">
        <v>18</v>
      </c>
      <c r="E201">
        <v>48465.599999999999</v>
      </c>
      <c r="F201">
        <v>5759</v>
      </c>
      <c r="G201">
        <v>0.154</v>
      </c>
      <c r="H201">
        <v>13</v>
      </c>
      <c r="I201">
        <v>87.5</v>
      </c>
      <c r="J201">
        <v>4.1399999999999997</v>
      </c>
      <c r="K201">
        <v>0</v>
      </c>
      <c r="L201">
        <v>4</v>
      </c>
      <c r="M201">
        <v>628538.30000000005</v>
      </c>
      <c r="N201">
        <v>112509.15</v>
      </c>
      <c r="O201">
        <f t="shared" si="9"/>
        <v>1</v>
      </c>
      <c r="P201">
        <f t="shared" si="11"/>
        <v>0</v>
      </c>
      <c r="Q201">
        <f t="shared" si="10"/>
        <v>0</v>
      </c>
    </row>
    <row r="202" spans="1:17">
      <c r="A202" t="s">
        <v>65</v>
      </c>
      <c r="B202" s="2">
        <v>45717</v>
      </c>
      <c r="C202" t="s">
        <v>15</v>
      </c>
      <c r="D202" t="s">
        <v>16</v>
      </c>
      <c r="E202">
        <v>68040.149999999994</v>
      </c>
      <c r="F202">
        <v>9826</v>
      </c>
      <c r="G202">
        <v>0.125</v>
      </c>
      <c r="H202">
        <v>20</v>
      </c>
      <c r="I202">
        <v>83.9</v>
      </c>
      <c r="J202">
        <v>9.1199999999999992</v>
      </c>
      <c r="K202">
        <v>0</v>
      </c>
      <c r="L202">
        <v>3.6</v>
      </c>
      <c r="M202">
        <v>758138.29</v>
      </c>
      <c r="N202">
        <v>132975.26</v>
      </c>
      <c r="O202">
        <f t="shared" si="9"/>
        <v>0</v>
      </c>
      <c r="P202">
        <f t="shared" si="11"/>
        <v>0</v>
      </c>
      <c r="Q202">
        <f t="shared" si="10"/>
        <v>0</v>
      </c>
    </row>
    <row r="203" spans="1:17">
      <c r="A203" t="s">
        <v>61</v>
      </c>
      <c r="B203" s="2">
        <v>45689</v>
      </c>
      <c r="C203" t="s">
        <v>20</v>
      </c>
      <c r="D203" t="s">
        <v>28</v>
      </c>
      <c r="E203">
        <v>41863.08</v>
      </c>
      <c r="F203">
        <v>5400</v>
      </c>
      <c r="G203">
        <v>0.114</v>
      </c>
      <c r="H203">
        <v>11</v>
      </c>
      <c r="I203">
        <v>91.6</v>
      </c>
      <c r="J203">
        <v>7.99</v>
      </c>
      <c r="K203">
        <v>0</v>
      </c>
      <c r="L203">
        <v>3</v>
      </c>
      <c r="M203">
        <v>602002.31999999995</v>
      </c>
      <c r="N203">
        <v>110453.28</v>
      </c>
      <c r="O203">
        <f t="shared" si="9"/>
        <v>0</v>
      </c>
      <c r="P203">
        <f t="shared" si="11"/>
        <v>1</v>
      </c>
      <c r="Q203">
        <f t="shared" si="10"/>
        <v>0</v>
      </c>
    </row>
    <row r="204" spans="1:17">
      <c r="A204" t="s">
        <v>48</v>
      </c>
      <c r="B204" s="2">
        <v>45689</v>
      </c>
      <c r="C204" t="s">
        <v>27</v>
      </c>
      <c r="D204" t="s">
        <v>18</v>
      </c>
      <c r="E204">
        <v>74679.350000000006</v>
      </c>
      <c r="F204">
        <v>8739</v>
      </c>
      <c r="G204">
        <v>5.6000000000000001E-2</v>
      </c>
      <c r="H204">
        <v>21</v>
      </c>
      <c r="I204">
        <v>91.8</v>
      </c>
      <c r="J204">
        <v>2.83</v>
      </c>
      <c r="K204">
        <v>0</v>
      </c>
      <c r="L204">
        <v>3</v>
      </c>
      <c r="M204">
        <v>783797.89</v>
      </c>
      <c r="N204">
        <v>157620.70000000001</v>
      </c>
      <c r="O204">
        <f t="shared" si="9"/>
        <v>1</v>
      </c>
      <c r="P204">
        <f t="shared" si="11"/>
        <v>0</v>
      </c>
      <c r="Q204">
        <f t="shared" si="10"/>
        <v>0</v>
      </c>
    </row>
    <row r="205" spans="1:17">
      <c r="A205" t="s">
        <v>93</v>
      </c>
      <c r="B205" s="2">
        <v>45658</v>
      </c>
      <c r="C205" t="s">
        <v>27</v>
      </c>
      <c r="D205" t="s">
        <v>16</v>
      </c>
      <c r="E205">
        <v>60183.06</v>
      </c>
      <c r="F205">
        <v>5562</v>
      </c>
      <c r="G205">
        <v>8.9999999999999993E-3</v>
      </c>
      <c r="H205">
        <v>13</v>
      </c>
      <c r="I205">
        <v>86.3</v>
      </c>
      <c r="J205">
        <v>0.2</v>
      </c>
      <c r="K205">
        <v>1</v>
      </c>
      <c r="L205">
        <v>4.5</v>
      </c>
      <c r="M205">
        <v>636775.66</v>
      </c>
      <c r="N205">
        <v>122636.86</v>
      </c>
      <c r="O205">
        <f t="shared" si="9"/>
        <v>0</v>
      </c>
      <c r="P205">
        <f t="shared" si="11"/>
        <v>0</v>
      </c>
      <c r="Q205">
        <f t="shared" si="10"/>
        <v>0</v>
      </c>
    </row>
    <row r="206" spans="1:17">
      <c r="A206" t="s">
        <v>65</v>
      </c>
      <c r="B206" s="2">
        <v>45748</v>
      </c>
      <c r="C206" t="s">
        <v>15</v>
      </c>
      <c r="D206" t="s">
        <v>16</v>
      </c>
      <c r="E206">
        <v>63043.94</v>
      </c>
      <c r="F206">
        <v>10402</v>
      </c>
      <c r="G206">
        <v>0.159</v>
      </c>
      <c r="H206">
        <v>23</v>
      </c>
      <c r="I206">
        <v>93.9</v>
      </c>
      <c r="J206">
        <v>2.71</v>
      </c>
      <c r="K206">
        <v>0</v>
      </c>
      <c r="L206">
        <v>3.1</v>
      </c>
      <c r="M206">
        <v>804264</v>
      </c>
      <c r="N206">
        <v>167117.91</v>
      </c>
      <c r="O206">
        <f t="shared" si="9"/>
        <v>0</v>
      </c>
      <c r="P206">
        <f t="shared" si="11"/>
        <v>0</v>
      </c>
      <c r="Q206">
        <f t="shared" si="10"/>
        <v>0</v>
      </c>
    </row>
    <row r="207" spans="1:17">
      <c r="A207" t="s">
        <v>60</v>
      </c>
      <c r="B207" s="2">
        <v>45658</v>
      </c>
      <c r="C207" t="s">
        <v>15</v>
      </c>
      <c r="D207" t="s">
        <v>18</v>
      </c>
      <c r="E207">
        <v>75645.23</v>
      </c>
      <c r="F207">
        <v>9674</v>
      </c>
      <c r="G207">
        <v>0.23400000000000001</v>
      </c>
      <c r="H207">
        <v>21</v>
      </c>
      <c r="I207">
        <v>87.4</v>
      </c>
      <c r="J207">
        <v>0.2</v>
      </c>
      <c r="K207">
        <v>0</v>
      </c>
      <c r="L207">
        <v>4.5</v>
      </c>
      <c r="M207">
        <v>785028.25</v>
      </c>
      <c r="N207">
        <v>110726.44</v>
      </c>
      <c r="O207">
        <f t="shared" si="9"/>
        <v>1</v>
      </c>
      <c r="P207">
        <f t="shared" si="11"/>
        <v>0</v>
      </c>
      <c r="Q207">
        <f t="shared" si="10"/>
        <v>0</v>
      </c>
    </row>
    <row r="208" spans="1:17">
      <c r="A208" t="s">
        <v>85</v>
      </c>
      <c r="B208" s="2">
        <v>45658</v>
      </c>
      <c r="C208" t="s">
        <v>24</v>
      </c>
      <c r="D208" t="s">
        <v>21</v>
      </c>
      <c r="E208">
        <v>81801.8</v>
      </c>
      <c r="F208">
        <v>6782</v>
      </c>
      <c r="G208">
        <v>0.05</v>
      </c>
      <c r="H208">
        <v>16</v>
      </c>
      <c r="I208">
        <v>99</v>
      </c>
      <c r="J208">
        <v>9.5399999999999991</v>
      </c>
      <c r="K208">
        <v>0</v>
      </c>
      <c r="L208">
        <v>3.7</v>
      </c>
      <c r="M208">
        <v>764949</v>
      </c>
      <c r="N208">
        <v>148322.43</v>
      </c>
      <c r="O208">
        <f t="shared" si="9"/>
        <v>0</v>
      </c>
      <c r="P208">
        <f t="shared" si="11"/>
        <v>0</v>
      </c>
      <c r="Q208">
        <f t="shared" si="10"/>
        <v>1</v>
      </c>
    </row>
    <row r="209" spans="1:17">
      <c r="A209" t="s">
        <v>101</v>
      </c>
      <c r="B209" s="2">
        <v>45717</v>
      </c>
      <c r="C209" t="s">
        <v>15</v>
      </c>
      <c r="D209" t="s">
        <v>16</v>
      </c>
      <c r="E209">
        <v>81902.58</v>
      </c>
      <c r="F209">
        <v>7775</v>
      </c>
      <c r="G209">
        <v>0.215</v>
      </c>
      <c r="H209">
        <v>20</v>
      </c>
      <c r="I209">
        <v>85.2</v>
      </c>
      <c r="J209">
        <v>4.8899999999999997</v>
      </c>
      <c r="K209">
        <v>1</v>
      </c>
      <c r="L209">
        <v>4.2</v>
      </c>
      <c r="M209">
        <v>726776.22</v>
      </c>
      <c r="N209">
        <v>90804.49</v>
      </c>
      <c r="O209">
        <f t="shared" si="9"/>
        <v>0</v>
      </c>
      <c r="P209">
        <f t="shared" si="11"/>
        <v>0</v>
      </c>
      <c r="Q209">
        <f t="shared" si="10"/>
        <v>0</v>
      </c>
    </row>
    <row r="210" spans="1:17">
      <c r="A210" t="s">
        <v>43</v>
      </c>
      <c r="B210" s="2">
        <v>45748</v>
      </c>
      <c r="C210" t="s">
        <v>27</v>
      </c>
      <c r="D210" t="s">
        <v>18</v>
      </c>
      <c r="E210">
        <v>18996.32</v>
      </c>
      <c r="F210">
        <v>1260</v>
      </c>
      <c r="G210">
        <v>0.14499999999999999</v>
      </c>
      <c r="H210">
        <v>9</v>
      </c>
      <c r="I210">
        <v>86.4</v>
      </c>
      <c r="J210">
        <v>4.3099999999999996</v>
      </c>
      <c r="K210">
        <v>0</v>
      </c>
      <c r="L210">
        <v>4.5999999999999996</v>
      </c>
      <c r="M210">
        <v>450711.92</v>
      </c>
      <c r="N210">
        <v>90043.76</v>
      </c>
      <c r="O210">
        <f t="shared" si="9"/>
        <v>1</v>
      </c>
      <c r="P210">
        <f t="shared" si="11"/>
        <v>0</v>
      </c>
      <c r="Q210">
        <f t="shared" si="10"/>
        <v>0</v>
      </c>
    </row>
    <row r="211" spans="1:17">
      <c r="A211" t="s">
        <v>53</v>
      </c>
      <c r="B211" s="2">
        <v>45689</v>
      </c>
      <c r="C211" t="s">
        <v>24</v>
      </c>
      <c r="D211" t="s">
        <v>18</v>
      </c>
      <c r="E211">
        <v>44747</v>
      </c>
      <c r="F211">
        <v>11076</v>
      </c>
      <c r="G211">
        <v>0.17599999999999999</v>
      </c>
      <c r="H211">
        <v>27</v>
      </c>
      <c r="I211">
        <v>98.3</v>
      </c>
      <c r="J211">
        <v>0.54</v>
      </c>
      <c r="K211">
        <v>0</v>
      </c>
      <c r="L211">
        <v>4.4000000000000004</v>
      </c>
      <c r="M211">
        <v>842439.67</v>
      </c>
      <c r="N211">
        <v>169983.63</v>
      </c>
      <c r="O211">
        <f t="shared" si="9"/>
        <v>1</v>
      </c>
      <c r="P211">
        <f t="shared" si="11"/>
        <v>0</v>
      </c>
      <c r="Q211">
        <f t="shared" si="10"/>
        <v>0</v>
      </c>
    </row>
    <row r="212" spans="1:17">
      <c r="A212" t="s">
        <v>77</v>
      </c>
      <c r="B212" s="2">
        <v>45658</v>
      </c>
      <c r="C212" t="s">
        <v>15</v>
      </c>
      <c r="D212" t="s">
        <v>18</v>
      </c>
      <c r="E212">
        <v>53367.73</v>
      </c>
      <c r="F212">
        <v>7291</v>
      </c>
      <c r="G212">
        <v>0.14599999999999999</v>
      </c>
      <c r="H212">
        <v>18</v>
      </c>
      <c r="I212">
        <v>90.6</v>
      </c>
      <c r="J212">
        <v>6.34</v>
      </c>
      <c r="K212">
        <v>1</v>
      </c>
      <c r="L212">
        <v>3.8</v>
      </c>
      <c r="M212">
        <v>712219.81</v>
      </c>
      <c r="N212">
        <v>85906.54</v>
      </c>
      <c r="O212">
        <f t="shared" si="9"/>
        <v>1</v>
      </c>
      <c r="P212">
        <f t="shared" si="11"/>
        <v>0</v>
      </c>
      <c r="Q212">
        <f t="shared" si="10"/>
        <v>0</v>
      </c>
    </row>
    <row r="213" spans="1:17">
      <c r="A213" t="s">
        <v>77</v>
      </c>
      <c r="B213" s="2">
        <v>45689</v>
      </c>
      <c r="C213" t="s">
        <v>15</v>
      </c>
      <c r="D213" t="s">
        <v>18</v>
      </c>
      <c r="E213">
        <v>27194.639999999999</v>
      </c>
      <c r="F213">
        <v>7404</v>
      </c>
      <c r="G213">
        <v>8.7999999999999995E-2</v>
      </c>
      <c r="H213">
        <v>18</v>
      </c>
      <c r="I213">
        <v>90.2</v>
      </c>
      <c r="J213">
        <v>1.2</v>
      </c>
      <c r="K213">
        <v>0</v>
      </c>
      <c r="L213">
        <v>3.4</v>
      </c>
      <c r="M213">
        <v>672670.54</v>
      </c>
      <c r="N213">
        <v>132684.18</v>
      </c>
      <c r="O213">
        <f t="shared" si="9"/>
        <v>1</v>
      </c>
      <c r="P213">
        <f t="shared" si="11"/>
        <v>0</v>
      </c>
      <c r="Q213">
        <f t="shared" si="10"/>
        <v>0</v>
      </c>
    </row>
    <row r="214" spans="1:17">
      <c r="A214" t="s">
        <v>74</v>
      </c>
      <c r="B214" s="2">
        <v>45748</v>
      </c>
      <c r="C214" t="s">
        <v>15</v>
      </c>
      <c r="D214" t="s">
        <v>18</v>
      </c>
      <c r="E214">
        <v>49405.75</v>
      </c>
      <c r="F214">
        <v>9752</v>
      </c>
      <c r="G214">
        <v>9.2999999999999999E-2</v>
      </c>
      <c r="H214">
        <v>21</v>
      </c>
      <c r="I214">
        <v>87</v>
      </c>
      <c r="J214">
        <v>12.28</v>
      </c>
      <c r="K214">
        <v>0</v>
      </c>
      <c r="L214">
        <v>4.0999999999999996</v>
      </c>
      <c r="M214">
        <v>761963.23</v>
      </c>
      <c r="N214">
        <v>150113.60999999999</v>
      </c>
      <c r="O214">
        <f t="shared" si="9"/>
        <v>1</v>
      </c>
      <c r="P214">
        <f t="shared" si="11"/>
        <v>0</v>
      </c>
      <c r="Q214">
        <f t="shared" si="10"/>
        <v>0</v>
      </c>
    </row>
    <row r="215" spans="1:17">
      <c r="A215" t="s">
        <v>77</v>
      </c>
      <c r="B215" s="2">
        <v>45717</v>
      </c>
      <c r="C215" t="s">
        <v>15</v>
      </c>
      <c r="D215" t="s">
        <v>18</v>
      </c>
      <c r="E215">
        <v>66962.740000000005</v>
      </c>
      <c r="F215">
        <v>7880</v>
      </c>
      <c r="G215">
        <v>0.11600000000000001</v>
      </c>
      <c r="H215">
        <v>19</v>
      </c>
      <c r="I215">
        <v>90.4</v>
      </c>
      <c r="J215">
        <v>4.5</v>
      </c>
      <c r="K215">
        <v>0</v>
      </c>
      <c r="L215">
        <v>3.3</v>
      </c>
      <c r="M215">
        <v>732667.92</v>
      </c>
      <c r="N215">
        <v>128654.46</v>
      </c>
      <c r="O215">
        <f t="shared" si="9"/>
        <v>1</v>
      </c>
      <c r="P215">
        <f t="shared" si="11"/>
        <v>0</v>
      </c>
      <c r="Q215">
        <f t="shared" si="10"/>
        <v>0</v>
      </c>
    </row>
    <row r="216" spans="1:17">
      <c r="A216" t="s">
        <v>91</v>
      </c>
      <c r="B216" s="2">
        <v>45748</v>
      </c>
      <c r="C216" t="s">
        <v>24</v>
      </c>
      <c r="D216" t="s">
        <v>16</v>
      </c>
      <c r="E216">
        <v>70284.06</v>
      </c>
      <c r="F216">
        <v>9109</v>
      </c>
      <c r="G216">
        <v>4.0000000000000001E-3</v>
      </c>
      <c r="H216">
        <v>23</v>
      </c>
      <c r="I216">
        <v>87</v>
      </c>
      <c r="J216">
        <v>3.65</v>
      </c>
      <c r="K216">
        <v>0</v>
      </c>
      <c r="L216">
        <v>3.7</v>
      </c>
      <c r="M216">
        <v>761122.42</v>
      </c>
      <c r="N216">
        <v>149802.04</v>
      </c>
      <c r="O216">
        <f t="shared" si="9"/>
        <v>0</v>
      </c>
      <c r="P216">
        <f t="shared" si="11"/>
        <v>0</v>
      </c>
      <c r="Q216">
        <f t="shared" si="10"/>
        <v>0</v>
      </c>
    </row>
    <row r="217" spans="1:17">
      <c r="A217" t="s">
        <v>78</v>
      </c>
      <c r="B217" s="2">
        <v>45717</v>
      </c>
      <c r="C217" t="s">
        <v>15</v>
      </c>
      <c r="D217" t="s">
        <v>28</v>
      </c>
      <c r="E217">
        <v>42932.02</v>
      </c>
      <c r="F217">
        <v>3872</v>
      </c>
      <c r="G217">
        <v>0.17100000000000001</v>
      </c>
      <c r="H217">
        <v>12</v>
      </c>
      <c r="I217">
        <v>83.2</v>
      </c>
      <c r="J217">
        <v>15.58</v>
      </c>
      <c r="K217">
        <v>0</v>
      </c>
      <c r="L217">
        <v>3.3</v>
      </c>
      <c r="M217">
        <v>527681.56000000006</v>
      </c>
      <c r="N217">
        <v>63153.05</v>
      </c>
      <c r="O217">
        <f t="shared" si="9"/>
        <v>0</v>
      </c>
      <c r="P217">
        <f t="shared" si="11"/>
        <v>1</v>
      </c>
      <c r="Q217">
        <f t="shared" si="10"/>
        <v>0</v>
      </c>
    </row>
    <row r="218" spans="1:17">
      <c r="A218" t="s">
        <v>74</v>
      </c>
      <c r="B218" s="2">
        <v>45658</v>
      </c>
      <c r="C218" t="s">
        <v>15</v>
      </c>
      <c r="D218" t="s">
        <v>18</v>
      </c>
      <c r="E218">
        <v>63457.19</v>
      </c>
      <c r="F218">
        <v>10125</v>
      </c>
      <c r="G218">
        <v>9.7000000000000003E-2</v>
      </c>
      <c r="H218">
        <v>24</v>
      </c>
      <c r="I218">
        <v>87</v>
      </c>
      <c r="J218">
        <v>3.84</v>
      </c>
      <c r="K218">
        <v>1</v>
      </c>
      <c r="L218">
        <v>3.7</v>
      </c>
      <c r="M218">
        <v>810446.53</v>
      </c>
      <c r="N218">
        <v>200575.34</v>
      </c>
      <c r="O218">
        <f t="shared" si="9"/>
        <v>1</v>
      </c>
      <c r="P218">
        <f t="shared" si="11"/>
        <v>0</v>
      </c>
      <c r="Q218">
        <f t="shared" si="10"/>
        <v>0</v>
      </c>
    </row>
    <row r="219" spans="1:17">
      <c r="A219" t="s">
        <v>68</v>
      </c>
      <c r="B219" s="2">
        <v>45658</v>
      </c>
      <c r="C219" t="s">
        <v>20</v>
      </c>
      <c r="D219" t="s">
        <v>18</v>
      </c>
      <c r="E219">
        <v>71941.62</v>
      </c>
      <c r="F219">
        <v>6084</v>
      </c>
      <c r="G219">
        <v>7.1999999999999995E-2</v>
      </c>
      <c r="H219">
        <v>13</v>
      </c>
      <c r="I219">
        <v>93.7</v>
      </c>
      <c r="J219">
        <v>2.34</v>
      </c>
      <c r="K219">
        <v>0</v>
      </c>
      <c r="L219">
        <v>4.4000000000000004</v>
      </c>
      <c r="M219">
        <v>681855.56</v>
      </c>
      <c r="N219">
        <v>117645.61</v>
      </c>
      <c r="O219">
        <f t="shared" si="9"/>
        <v>1</v>
      </c>
      <c r="P219">
        <f t="shared" si="11"/>
        <v>0</v>
      </c>
      <c r="Q219">
        <f t="shared" si="10"/>
        <v>0</v>
      </c>
    </row>
    <row r="220" spans="1:17">
      <c r="A220" t="s">
        <v>19</v>
      </c>
      <c r="B220" s="2">
        <v>45689</v>
      </c>
      <c r="C220" t="s">
        <v>20</v>
      </c>
      <c r="D220" t="s">
        <v>21</v>
      </c>
      <c r="E220">
        <v>68133.440000000002</v>
      </c>
      <c r="F220">
        <v>9459</v>
      </c>
      <c r="G220">
        <v>0.22</v>
      </c>
      <c r="H220">
        <v>21</v>
      </c>
      <c r="I220">
        <v>85</v>
      </c>
      <c r="J220">
        <v>1.91</v>
      </c>
      <c r="K220">
        <v>0</v>
      </c>
      <c r="L220">
        <v>4.2</v>
      </c>
      <c r="M220">
        <v>779010.94</v>
      </c>
      <c r="N220">
        <v>106328.09</v>
      </c>
      <c r="O220">
        <f t="shared" si="9"/>
        <v>0</v>
      </c>
      <c r="P220">
        <f t="shared" si="11"/>
        <v>0</v>
      </c>
      <c r="Q220">
        <f t="shared" si="10"/>
        <v>1</v>
      </c>
    </row>
    <row r="221" spans="1:17">
      <c r="A221" t="s">
        <v>62</v>
      </c>
      <c r="B221" s="2">
        <v>45748</v>
      </c>
      <c r="C221" t="s">
        <v>24</v>
      </c>
      <c r="D221" t="s">
        <v>18</v>
      </c>
      <c r="E221">
        <v>66870.62</v>
      </c>
      <c r="F221">
        <v>6055</v>
      </c>
      <c r="G221">
        <v>7.4999999999999997E-2</v>
      </c>
      <c r="H221">
        <v>19</v>
      </c>
      <c r="I221">
        <v>93.8</v>
      </c>
      <c r="J221">
        <v>0.54</v>
      </c>
      <c r="K221">
        <v>0</v>
      </c>
      <c r="L221">
        <v>4.3</v>
      </c>
      <c r="M221">
        <v>692008.64</v>
      </c>
      <c r="N221">
        <v>116337.87</v>
      </c>
      <c r="O221">
        <f t="shared" si="9"/>
        <v>1</v>
      </c>
      <c r="P221">
        <f t="shared" si="11"/>
        <v>0</v>
      </c>
      <c r="Q221">
        <f t="shared" si="10"/>
        <v>0</v>
      </c>
    </row>
    <row r="222" spans="1:17">
      <c r="A222" t="s">
        <v>38</v>
      </c>
      <c r="B222" s="2">
        <v>45689</v>
      </c>
      <c r="C222" t="s">
        <v>27</v>
      </c>
      <c r="D222" t="s">
        <v>18</v>
      </c>
      <c r="E222">
        <v>51148.69</v>
      </c>
      <c r="F222">
        <v>7940</v>
      </c>
      <c r="G222">
        <v>0.156</v>
      </c>
      <c r="H222">
        <v>18</v>
      </c>
      <c r="I222">
        <v>93.3</v>
      </c>
      <c r="J222">
        <v>10.91</v>
      </c>
      <c r="K222">
        <v>0</v>
      </c>
      <c r="L222">
        <v>3.6</v>
      </c>
      <c r="M222">
        <v>717141.55</v>
      </c>
      <c r="N222">
        <v>134013.60999999999</v>
      </c>
      <c r="O222">
        <f t="shared" si="9"/>
        <v>1</v>
      </c>
      <c r="P222">
        <f t="shared" si="11"/>
        <v>0</v>
      </c>
      <c r="Q222">
        <f t="shared" si="10"/>
        <v>0</v>
      </c>
    </row>
    <row r="223" spans="1:17">
      <c r="A223" t="s">
        <v>31</v>
      </c>
      <c r="B223" s="2">
        <v>45689</v>
      </c>
      <c r="C223" t="s">
        <v>20</v>
      </c>
      <c r="D223" t="s">
        <v>28</v>
      </c>
      <c r="E223">
        <v>61245.41</v>
      </c>
      <c r="F223">
        <v>8156</v>
      </c>
      <c r="G223">
        <v>0.156</v>
      </c>
      <c r="H223">
        <v>19</v>
      </c>
      <c r="I223">
        <v>92.9</v>
      </c>
      <c r="J223">
        <v>9.0500000000000007</v>
      </c>
      <c r="K223">
        <v>0</v>
      </c>
      <c r="L223">
        <v>3.8</v>
      </c>
      <c r="M223">
        <v>718330.53</v>
      </c>
      <c r="N223">
        <v>93247.9</v>
      </c>
      <c r="O223">
        <f t="shared" si="9"/>
        <v>0</v>
      </c>
      <c r="P223">
        <f t="shared" si="11"/>
        <v>1</v>
      </c>
      <c r="Q223">
        <f t="shared" si="10"/>
        <v>0</v>
      </c>
    </row>
    <row r="224" spans="1:17">
      <c r="A224" t="s">
        <v>59</v>
      </c>
      <c r="B224" s="2">
        <v>45658</v>
      </c>
      <c r="C224" t="s">
        <v>24</v>
      </c>
      <c r="D224" t="s">
        <v>28</v>
      </c>
      <c r="E224">
        <v>51575.68</v>
      </c>
      <c r="F224">
        <v>5329</v>
      </c>
      <c r="G224">
        <v>4.7E-2</v>
      </c>
      <c r="H224">
        <v>17</v>
      </c>
      <c r="I224">
        <v>88.1</v>
      </c>
      <c r="J224">
        <v>19.78</v>
      </c>
      <c r="K224">
        <v>0</v>
      </c>
      <c r="L224">
        <v>3.8</v>
      </c>
      <c r="M224">
        <v>614024.91</v>
      </c>
      <c r="N224">
        <v>84828.93</v>
      </c>
      <c r="O224">
        <f t="shared" si="9"/>
        <v>0</v>
      </c>
      <c r="P224">
        <f t="shared" si="11"/>
        <v>1</v>
      </c>
      <c r="Q224">
        <f t="shared" si="10"/>
        <v>0</v>
      </c>
    </row>
    <row r="225" spans="1:17">
      <c r="A225" t="s">
        <v>55</v>
      </c>
      <c r="B225" s="2">
        <v>45748</v>
      </c>
      <c r="C225" t="s">
        <v>20</v>
      </c>
      <c r="D225" t="s">
        <v>18</v>
      </c>
      <c r="E225">
        <v>70366.759999999995</v>
      </c>
      <c r="F225">
        <v>1963</v>
      </c>
      <c r="G225">
        <v>0.182</v>
      </c>
      <c r="H225">
        <v>8</v>
      </c>
      <c r="I225">
        <v>89.8</v>
      </c>
      <c r="J225">
        <v>3.2</v>
      </c>
      <c r="K225">
        <v>0</v>
      </c>
      <c r="L225">
        <v>4.5999999999999996</v>
      </c>
      <c r="M225">
        <v>529075.94999999995</v>
      </c>
      <c r="N225">
        <v>95978.83</v>
      </c>
      <c r="O225">
        <f t="shared" si="9"/>
        <v>1</v>
      </c>
      <c r="P225">
        <f t="shared" si="11"/>
        <v>0</v>
      </c>
      <c r="Q225">
        <f t="shared" si="10"/>
        <v>0</v>
      </c>
    </row>
    <row r="226" spans="1:17">
      <c r="A226" t="s">
        <v>83</v>
      </c>
      <c r="B226" s="2">
        <v>45748</v>
      </c>
      <c r="C226" t="s">
        <v>15</v>
      </c>
      <c r="D226" t="s">
        <v>18</v>
      </c>
      <c r="E226">
        <v>21536.18</v>
      </c>
      <c r="F226">
        <v>8119</v>
      </c>
      <c r="G226">
        <v>0.22700000000000001</v>
      </c>
      <c r="H226">
        <v>20</v>
      </c>
      <c r="I226">
        <v>90.4</v>
      </c>
      <c r="J226">
        <v>1.7</v>
      </c>
      <c r="K226">
        <v>0</v>
      </c>
      <c r="L226">
        <v>3.3</v>
      </c>
      <c r="M226">
        <v>679888.74</v>
      </c>
      <c r="N226">
        <v>83406.89</v>
      </c>
      <c r="O226">
        <f t="shared" si="9"/>
        <v>1</v>
      </c>
      <c r="P226">
        <f t="shared" si="11"/>
        <v>0</v>
      </c>
      <c r="Q226">
        <f t="shared" si="10"/>
        <v>0</v>
      </c>
    </row>
    <row r="227" spans="1:17">
      <c r="A227" t="s">
        <v>41</v>
      </c>
      <c r="B227" s="2">
        <v>45748</v>
      </c>
      <c r="C227" t="s">
        <v>24</v>
      </c>
      <c r="D227" t="s">
        <v>18</v>
      </c>
      <c r="E227">
        <v>77999.899999999994</v>
      </c>
      <c r="F227">
        <v>5974</v>
      </c>
      <c r="G227">
        <v>0.252</v>
      </c>
      <c r="H227">
        <v>14</v>
      </c>
      <c r="I227">
        <v>81.3</v>
      </c>
      <c r="J227">
        <v>2.39</v>
      </c>
      <c r="K227">
        <v>0</v>
      </c>
      <c r="L227">
        <v>3.2</v>
      </c>
      <c r="M227">
        <v>636561.34</v>
      </c>
      <c r="N227">
        <v>93861.06</v>
      </c>
      <c r="O227">
        <f t="shared" si="9"/>
        <v>1</v>
      </c>
      <c r="P227">
        <f t="shared" si="11"/>
        <v>0</v>
      </c>
      <c r="Q227">
        <f t="shared" si="10"/>
        <v>0</v>
      </c>
    </row>
    <row r="228" spans="1:17">
      <c r="A228" t="s">
        <v>23</v>
      </c>
      <c r="B228" s="2">
        <v>45717</v>
      </c>
      <c r="C228" t="s">
        <v>24</v>
      </c>
      <c r="D228" t="s">
        <v>16</v>
      </c>
      <c r="E228">
        <v>78831.12</v>
      </c>
      <c r="F228">
        <v>5538</v>
      </c>
      <c r="G228">
        <v>0</v>
      </c>
      <c r="H228">
        <v>15</v>
      </c>
      <c r="I228">
        <v>94.1</v>
      </c>
      <c r="J228">
        <v>0.2</v>
      </c>
      <c r="K228">
        <v>0</v>
      </c>
      <c r="L228">
        <v>3.9</v>
      </c>
      <c r="M228">
        <v>666573.19999999995</v>
      </c>
      <c r="N228">
        <v>140641.01999999999</v>
      </c>
      <c r="O228">
        <f t="shared" si="9"/>
        <v>0</v>
      </c>
      <c r="P228">
        <f t="shared" si="11"/>
        <v>0</v>
      </c>
      <c r="Q228">
        <f t="shared" si="10"/>
        <v>0</v>
      </c>
    </row>
    <row r="229" spans="1:17">
      <c r="A229" t="s">
        <v>34</v>
      </c>
      <c r="B229" s="2">
        <v>45658</v>
      </c>
      <c r="C229" t="s">
        <v>20</v>
      </c>
      <c r="D229" t="s">
        <v>28</v>
      </c>
      <c r="E229">
        <v>46624.05</v>
      </c>
      <c r="F229">
        <v>5104</v>
      </c>
      <c r="G229">
        <v>0.109</v>
      </c>
      <c r="H229">
        <v>11</v>
      </c>
      <c r="I229">
        <v>97.3</v>
      </c>
      <c r="J229">
        <v>3.49</v>
      </c>
      <c r="K229">
        <v>1</v>
      </c>
      <c r="L229">
        <v>4.7</v>
      </c>
      <c r="M229">
        <v>622811.74</v>
      </c>
      <c r="N229">
        <v>109978.35</v>
      </c>
      <c r="O229">
        <f t="shared" si="9"/>
        <v>0</v>
      </c>
      <c r="P229">
        <f t="shared" si="11"/>
        <v>1</v>
      </c>
      <c r="Q229">
        <f t="shared" si="10"/>
        <v>0</v>
      </c>
    </row>
    <row r="230" spans="1:17">
      <c r="A230" t="s">
        <v>50</v>
      </c>
      <c r="B230" s="2">
        <v>45748</v>
      </c>
      <c r="C230" t="s">
        <v>27</v>
      </c>
      <c r="D230" t="s">
        <v>28</v>
      </c>
      <c r="E230">
        <v>25990.54</v>
      </c>
      <c r="F230">
        <v>9249</v>
      </c>
      <c r="G230">
        <v>0.13900000000000001</v>
      </c>
      <c r="H230">
        <v>23</v>
      </c>
      <c r="I230">
        <v>92.5</v>
      </c>
      <c r="J230">
        <v>6.37</v>
      </c>
      <c r="K230">
        <v>0</v>
      </c>
      <c r="L230">
        <v>3.3</v>
      </c>
      <c r="M230">
        <v>718074.79</v>
      </c>
      <c r="N230">
        <v>115819.87</v>
      </c>
      <c r="O230">
        <f t="shared" si="9"/>
        <v>0</v>
      </c>
      <c r="P230">
        <f t="shared" si="11"/>
        <v>1</v>
      </c>
      <c r="Q230">
        <f t="shared" si="10"/>
        <v>0</v>
      </c>
    </row>
    <row r="231" spans="1:17">
      <c r="A231" t="s">
        <v>30</v>
      </c>
      <c r="B231" s="2">
        <v>45748</v>
      </c>
      <c r="C231" t="s">
        <v>20</v>
      </c>
      <c r="D231" t="s">
        <v>16</v>
      </c>
      <c r="E231">
        <v>52483.77</v>
      </c>
      <c r="F231">
        <v>10453</v>
      </c>
      <c r="G231">
        <v>0.247</v>
      </c>
      <c r="H231">
        <v>25</v>
      </c>
      <c r="I231">
        <v>99</v>
      </c>
      <c r="J231">
        <v>6.31</v>
      </c>
      <c r="K231">
        <v>0</v>
      </c>
      <c r="L231">
        <v>3.6</v>
      </c>
      <c r="M231">
        <v>800979.78</v>
      </c>
      <c r="N231">
        <v>149242.26999999999</v>
      </c>
      <c r="O231">
        <f t="shared" si="9"/>
        <v>0</v>
      </c>
      <c r="P231">
        <f t="shared" si="11"/>
        <v>0</v>
      </c>
      <c r="Q231">
        <f t="shared" si="10"/>
        <v>0</v>
      </c>
    </row>
    <row r="232" spans="1:17">
      <c r="A232" t="s">
        <v>88</v>
      </c>
      <c r="B232" s="2">
        <v>45658</v>
      </c>
      <c r="C232" t="s">
        <v>15</v>
      </c>
      <c r="D232" t="s">
        <v>18</v>
      </c>
      <c r="E232">
        <v>58981.91</v>
      </c>
      <c r="F232">
        <v>7324</v>
      </c>
      <c r="G232">
        <v>9.4E-2</v>
      </c>
      <c r="H232">
        <v>15</v>
      </c>
      <c r="I232">
        <v>95.8</v>
      </c>
      <c r="J232">
        <v>0.5</v>
      </c>
      <c r="K232">
        <v>0</v>
      </c>
      <c r="L232">
        <v>3.5</v>
      </c>
      <c r="M232">
        <v>708985.19</v>
      </c>
      <c r="N232">
        <v>125368.16</v>
      </c>
      <c r="O232">
        <f t="shared" si="9"/>
        <v>1</v>
      </c>
      <c r="P232">
        <f t="shared" si="11"/>
        <v>0</v>
      </c>
      <c r="Q232">
        <f t="shared" si="10"/>
        <v>0</v>
      </c>
    </row>
    <row r="233" spans="1:17">
      <c r="A233" t="s">
        <v>17</v>
      </c>
      <c r="B233" s="2">
        <v>45689</v>
      </c>
      <c r="C233" t="s">
        <v>15</v>
      </c>
      <c r="D233" t="s">
        <v>18</v>
      </c>
      <c r="E233">
        <v>64811.21</v>
      </c>
      <c r="F233">
        <v>9792</v>
      </c>
      <c r="G233">
        <v>0.112</v>
      </c>
      <c r="H233">
        <v>20</v>
      </c>
      <c r="I233">
        <v>84.2</v>
      </c>
      <c r="J233">
        <v>2.88</v>
      </c>
      <c r="K233">
        <v>0</v>
      </c>
      <c r="L233">
        <v>4.2</v>
      </c>
      <c r="M233">
        <v>761835.34</v>
      </c>
      <c r="N233">
        <v>149602.23000000001</v>
      </c>
      <c r="O233">
        <f t="shared" si="9"/>
        <v>1</v>
      </c>
      <c r="P233">
        <f t="shared" si="11"/>
        <v>0</v>
      </c>
      <c r="Q233">
        <f t="shared" si="10"/>
        <v>0</v>
      </c>
    </row>
    <row r="234" spans="1:17">
      <c r="A234" t="s">
        <v>54</v>
      </c>
      <c r="B234" s="2">
        <v>45748</v>
      </c>
      <c r="C234" t="s">
        <v>15</v>
      </c>
      <c r="D234" t="s">
        <v>18</v>
      </c>
      <c r="E234">
        <v>66455.8</v>
      </c>
      <c r="F234">
        <v>10836</v>
      </c>
      <c r="G234">
        <v>8.8999999999999996E-2</v>
      </c>
      <c r="H234">
        <v>25</v>
      </c>
      <c r="I234">
        <v>85</v>
      </c>
      <c r="J234">
        <v>9.77</v>
      </c>
      <c r="K234">
        <v>0</v>
      </c>
      <c r="L234">
        <v>4.5</v>
      </c>
      <c r="M234">
        <v>811452.72</v>
      </c>
      <c r="N234">
        <v>131325.67000000001</v>
      </c>
      <c r="O234">
        <f t="shared" si="9"/>
        <v>1</v>
      </c>
      <c r="P234">
        <f t="shared" si="11"/>
        <v>0</v>
      </c>
      <c r="Q234">
        <f t="shared" si="10"/>
        <v>0</v>
      </c>
    </row>
    <row r="235" spans="1:17">
      <c r="A235" t="s">
        <v>97</v>
      </c>
      <c r="B235" s="2">
        <v>45658</v>
      </c>
      <c r="C235" t="s">
        <v>20</v>
      </c>
      <c r="D235" t="s">
        <v>28</v>
      </c>
      <c r="E235">
        <v>40647.67</v>
      </c>
      <c r="F235">
        <v>8252</v>
      </c>
      <c r="G235">
        <v>0.14099999999999999</v>
      </c>
      <c r="H235">
        <v>22</v>
      </c>
      <c r="I235">
        <v>88.2</v>
      </c>
      <c r="J235">
        <v>5.07</v>
      </c>
      <c r="K235">
        <v>1</v>
      </c>
      <c r="L235">
        <v>4.0999999999999996</v>
      </c>
      <c r="M235">
        <v>703812.99</v>
      </c>
      <c r="N235">
        <v>133577.98000000001</v>
      </c>
      <c r="O235">
        <f t="shared" si="9"/>
        <v>0</v>
      </c>
      <c r="P235">
        <f t="shared" si="11"/>
        <v>1</v>
      </c>
      <c r="Q235">
        <f t="shared" si="10"/>
        <v>0</v>
      </c>
    </row>
    <row r="236" spans="1:17">
      <c r="A236" t="s">
        <v>90</v>
      </c>
      <c r="B236" s="2">
        <v>45717</v>
      </c>
      <c r="C236" t="s">
        <v>27</v>
      </c>
      <c r="D236" t="s">
        <v>18</v>
      </c>
      <c r="E236">
        <v>47648.71</v>
      </c>
      <c r="F236">
        <v>5767</v>
      </c>
      <c r="G236">
        <v>0.14099999999999999</v>
      </c>
      <c r="H236">
        <v>17</v>
      </c>
      <c r="I236">
        <v>89.8</v>
      </c>
      <c r="J236">
        <v>1.76</v>
      </c>
      <c r="K236">
        <v>0</v>
      </c>
      <c r="L236">
        <v>3.1</v>
      </c>
      <c r="M236">
        <v>635837.74</v>
      </c>
      <c r="N236">
        <v>114740.64</v>
      </c>
      <c r="O236">
        <f t="shared" si="9"/>
        <v>1</v>
      </c>
      <c r="P236">
        <f t="shared" si="11"/>
        <v>0</v>
      </c>
      <c r="Q236">
        <f t="shared" si="10"/>
        <v>0</v>
      </c>
    </row>
    <row r="237" spans="1:17">
      <c r="A237" t="s">
        <v>82</v>
      </c>
      <c r="B237" s="2">
        <v>45748</v>
      </c>
      <c r="C237" t="s">
        <v>24</v>
      </c>
      <c r="D237" t="s">
        <v>21</v>
      </c>
      <c r="E237">
        <v>53546.34</v>
      </c>
      <c r="F237">
        <v>8004</v>
      </c>
      <c r="G237">
        <v>0</v>
      </c>
      <c r="H237">
        <v>21</v>
      </c>
      <c r="I237">
        <v>95.2</v>
      </c>
      <c r="J237">
        <v>2.83</v>
      </c>
      <c r="K237">
        <v>0</v>
      </c>
      <c r="L237">
        <v>3</v>
      </c>
      <c r="M237">
        <v>763159.92</v>
      </c>
      <c r="N237">
        <v>177104.87</v>
      </c>
      <c r="O237">
        <f t="shared" si="9"/>
        <v>0</v>
      </c>
      <c r="P237">
        <f t="shared" si="11"/>
        <v>0</v>
      </c>
      <c r="Q237">
        <f t="shared" si="10"/>
        <v>1</v>
      </c>
    </row>
    <row r="238" spans="1:17">
      <c r="A238" t="s">
        <v>47</v>
      </c>
      <c r="B238" s="2">
        <v>45689</v>
      </c>
      <c r="C238" t="s">
        <v>15</v>
      </c>
      <c r="D238" t="s">
        <v>28</v>
      </c>
      <c r="E238">
        <v>63101.59</v>
      </c>
      <c r="F238">
        <v>4373</v>
      </c>
      <c r="G238">
        <v>0.17299999999999999</v>
      </c>
      <c r="H238">
        <v>14</v>
      </c>
      <c r="I238">
        <v>90.4</v>
      </c>
      <c r="J238">
        <v>7.87</v>
      </c>
      <c r="K238">
        <v>0</v>
      </c>
      <c r="L238">
        <v>4.7</v>
      </c>
      <c r="M238">
        <v>586626.93999999994</v>
      </c>
      <c r="N238">
        <v>86498.55</v>
      </c>
      <c r="O238">
        <f t="shared" si="9"/>
        <v>0</v>
      </c>
      <c r="P238">
        <f t="shared" si="11"/>
        <v>1</v>
      </c>
      <c r="Q238">
        <f t="shared" si="10"/>
        <v>0</v>
      </c>
    </row>
    <row r="239" spans="1:17">
      <c r="A239" t="s">
        <v>96</v>
      </c>
      <c r="B239" s="2">
        <v>45717</v>
      </c>
      <c r="C239" t="s">
        <v>27</v>
      </c>
      <c r="D239" t="s">
        <v>18</v>
      </c>
      <c r="E239">
        <v>46174.7</v>
      </c>
      <c r="F239">
        <v>4898</v>
      </c>
      <c r="G239">
        <v>0.114</v>
      </c>
      <c r="H239">
        <v>11</v>
      </c>
      <c r="I239">
        <v>91.7</v>
      </c>
      <c r="J239">
        <v>3.75</v>
      </c>
      <c r="K239">
        <v>0</v>
      </c>
      <c r="L239">
        <v>3.1</v>
      </c>
      <c r="M239">
        <v>599017.32999999996</v>
      </c>
      <c r="N239">
        <v>134009.92000000001</v>
      </c>
      <c r="O239">
        <f t="shared" si="9"/>
        <v>1</v>
      </c>
      <c r="P239">
        <f t="shared" si="11"/>
        <v>0</v>
      </c>
      <c r="Q239">
        <f t="shared" si="10"/>
        <v>0</v>
      </c>
    </row>
    <row r="240" spans="1:17">
      <c r="A240" t="s">
        <v>41</v>
      </c>
      <c r="B240" s="2">
        <v>45658</v>
      </c>
      <c r="C240" t="s">
        <v>24</v>
      </c>
      <c r="D240" t="s">
        <v>18</v>
      </c>
      <c r="E240">
        <v>56973.18</v>
      </c>
      <c r="F240">
        <v>6662</v>
      </c>
      <c r="G240">
        <v>0.1</v>
      </c>
      <c r="H240">
        <v>15</v>
      </c>
      <c r="I240">
        <v>77.7</v>
      </c>
      <c r="J240">
        <v>7.52</v>
      </c>
      <c r="K240">
        <v>1</v>
      </c>
      <c r="L240">
        <v>3.2</v>
      </c>
      <c r="M240">
        <v>643657.47</v>
      </c>
      <c r="N240">
        <v>87022.45</v>
      </c>
      <c r="O240">
        <f t="shared" si="9"/>
        <v>1</v>
      </c>
      <c r="P240">
        <f t="shared" si="11"/>
        <v>0</v>
      </c>
      <c r="Q240">
        <f t="shared" si="10"/>
        <v>0</v>
      </c>
    </row>
    <row r="241" spans="1:17">
      <c r="A241" t="s">
        <v>76</v>
      </c>
      <c r="B241" s="2">
        <v>45689</v>
      </c>
      <c r="C241" t="s">
        <v>20</v>
      </c>
      <c r="D241" t="s">
        <v>21</v>
      </c>
      <c r="E241">
        <v>33987.33</v>
      </c>
      <c r="F241">
        <v>5014</v>
      </c>
      <c r="G241">
        <v>0.246</v>
      </c>
      <c r="H241">
        <v>17</v>
      </c>
      <c r="I241">
        <v>94.3</v>
      </c>
      <c r="J241">
        <v>10.34</v>
      </c>
      <c r="K241">
        <v>0</v>
      </c>
      <c r="L241">
        <v>3.9</v>
      </c>
      <c r="M241">
        <v>622892.42000000004</v>
      </c>
      <c r="N241">
        <v>101032.52</v>
      </c>
      <c r="O241">
        <f t="shared" si="9"/>
        <v>0</v>
      </c>
      <c r="P241">
        <f t="shared" si="11"/>
        <v>0</v>
      </c>
      <c r="Q241">
        <f t="shared" si="10"/>
        <v>1</v>
      </c>
    </row>
    <row r="242" spans="1:17">
      <c r="A242" t="s">
        <v>84</v>
      </c>
      <c r="B242" s="2">
        <v>45689</v>
      </c>
      <c r="C242" t="s">
        <v>20</v>
      </c>
      <c r="D242" t="s">
        <v>18</v>
      </c>
      <c r="E242">
        <v>72932.55</v>
      </c>
      <c r="F242">
        <v>5765</v>
      </c>
      <c r="G242">
        <v>2.5999999999999999E-2</v>
      </c>
      <c r="H242">
        <v>17</v>
      </c>
      <c r="I242">
        <v>81.8</v>
      </c>
      <c r="J242">
        <v>5.0999999999999996</v>
      </c>
      <c r="K242">
        <v>0</v>
      </c>
      <c r="L242">
        <v>3.6</v>
      </c>
      <c r="M242">
        <v>642751.42000000004</v>
      </c>
      <c r="N242">
        <v>131942.15</v>
      </c>
      <c r="O242">
        <f t="shared" si="9"/>
        <v>1</v>
      </c>
      <c r="P242">
        <f t="shared" si="11"/>
        <v>0</v>
      </c>
      <c r="Q242">
        <f t="shared" si="10"/>
        <v>0</v>
      </c>
    </row>
    <row r="243" spans="1:17">
      <c r="A243" t="s">
        <v>94</v>
      </c>
      <c r="B243" s="2">
        <v>45689</v>
      </c>
      <c r="C243" t="s">
        <v>15</v>
      </c>
      <c r="D243" t="s">
        <v>16</v>
      </c>
      <c r="E243">
        <v>68909.259999999995</v>
      </c>
      <c r="F243">
        <v>7794</v>
      </c>
      <c r="G243">
        <v>0.28399999999999997</v>
      </c>
      <c r="H243">
        <v>22</v>
      </c>
      <c r="I243">
        <v>89</v>
      </c>
      <c r="J243">
        <v>0.33</v>
      </c>
      <c r="K243">
        <v>0</v>
      </c>
      <c r="L243">
        <v>4</v>
      </c>
      <c r="M243">
        <v>696261.49</v>
      </c>
      <c r="N243">
        <v>72455.350000000006</v>
      </c>
      <c r="O243">
        <f t="shared" si="9"/>
        <v>0</v>
      </c>
      <c r="P243">
        <f t="shared" si="11"/>
        <v>0</v>
      </c>
      <c r="Q243">
        <f t="shared" si="10"/>
        <v>0</v>
      </c>
    </row>
    <row r="244" spans="1:17">
      <c r="A244" t="s">
        <v>43</v>
      </c>
      <c r="B244" s="2">
        <v>45689</v>
      </c>
      <c r="C244" t="s">
        <v>27</v>
      </c>
      <c r="D244" t="s">
        <v>18</v>
      </c>
      <c r="E244">
        <v>88443.77</v>
      </c>
      <c r="F244">
        <v>4004</v>
      </c>
      <c r="G244">
        <v>0.20599999999999999</v>
      </c>
      <c r="H244">
        <v>11</v>
      </c>
      <c r="I244">
        <v>91.9</v>
      </c>
      <c r="J244">
        <v>5.95</v>
      </c>
      <c r="K244">
        <v>0</v>
      </c>
      <c r="M244">
        <v>611766.72</v>
      </c>
      <c r="N244">
        <v>88275.61</v>
      </c>
      <c r="O244">
        <f t="shared" si="9"/>
        <v>1</v>
      </c>
      <c r="P244">
        <f t="shared" si="11"/>
        <v>0</v>
      </c>
      <c r="Q244">
        <f t="shared" si="10"/>
        <v>0</v>
      </c>
    </row>
    <row r="245" spans="1:17">
      <c r="A245" t="s">
        <v>100</v>
      </c>
      <c r="B245" s="2">
        <v>45689</v>
      </c>
      <c r="C245" t="s">
        <v>20</v>
      </c>
      <c r="D245" t="s">
        <v>16</v>
      </c>
      <c r="E245">
        <v>46767.99</v>
      </c>
      <c r="F245">
        <v>7973</v>
      </c>
      <c r="G245">
        <v>0.183</v>
      </c>
      <c r="H245">
        <v>18</v>
      </c>
      <c r="I245">
        <v>94.8</v>
      </c>
      <c r="J245">
        <v>4.67</v>
      </c>
      <c r="K245">
        <v>0</v>
      </c>
      <c r="M245">
        <v>688368.46</v>
      </c>
      <c r="N245">
        <v>93588.42</v>
      </c>
      <c r="O245">
        <f t="shared" si="9"/>
        <v>0</v>
      </c>
      <c r="P245">
        <f t="shared" si="11"/>
        <v>0</v>
      </c>
      <c r="Q245">
        <f t="shared" si="10"/>
        <v>0</v>
      </c>
    </row>
    <row r="246" spans="1:17">
      <c r="A246" t="s">
        <v>69</v>
      </c>
      <c r="B246" s="2">
        <v>45717</v>
      </c>
      <c r="C246" t="s">
        <v>15</v>
      </c>
      <c r="D246" t="s">
        <v>18</v>
      </c>
      <c r="E246">
        <v>37705.879999999997</v>
      </c>
      <c r="F246">
        <v>1268</v>
      </c>
      <c r="G246">
        <v>0.25900000000000001</v>
      </c>
      <c r="H246">
        <v>9</v>
      </c>
      <c r="I246">
        <v>84.1</v>
      </c>
      <c r="J246">
        <v>4.7699999999999996</v>
      </c>
      <c r="K246">
        <v>0</v>
      </c>
      <c r="L246">
        <v>3.8</v>
      </c>
      <c r="M246">
        <v>443275.59</v>
      </c>
      <c r="N246">
        <v>53544.36</v>
      </c>
      <c r="O246">
        <f t="shared" si="9"/>
        <v>1</v>
      </c>
      <c r="P246">
        <f t="shared" si="11"/>
        <v>0</v>
      </c>
      <c r="Q246">
        <f t="shared" si="10"/>
        <v>0</v>
      </c>
    </row>
    <row r="247" spans="1:17">
      <c r="A247" t="s">
        <v>55</v>
      </c>
      <c r="B247" s="2">
        <v>45717</v>
      </c>
      <c r="C247" t="s">
        <v>20</v>
      </c>
      <c r="D247" t="s">
        <v>18</v>
      </c>
      <c r="E247">
        <v>52285.45</v>
      </c>
      <c r="F247">
        <v>3618</v>
      </c>
      <c r="G247">
        <v>8.5999999999999993E-2</v>
      </c>
      <c r="H247">
        <v>11</v>
      </c>
      <c r="I247">
        <v>95.6</v>
      </c>
      <c r="J247">
        <v>5.17</v>
      </c>
      <c r="K247">
        <v>1</v>
      </c>
      <c r="L247">
        <v>4.4000000000000004</v>
      </c>
      <c r="M247">
        <v>593247.25</v>
      </c>
      <c r="N247">
        <v>81240.289999999994</v>
      </c>
      <c r="O247">
        <f t="shared" si="9"/>
        <v>1</v>
      </c>
      <c r="P247">
        <f t="shared" si="11"/>
        <v>0</v>
      </c>
      <c r="Q247">
        <f t="shared" si="10"/>
        <v>0</v>
      </c>
    </row>
    <row r="248" spans="1:17">
      <c r="A248" t="s">
        <v>71</v>
      </c>
      <c r="B248" s="2">
        <v>45717</v>
      </c>
      <c r="C248" t="s">
        <v>20</v>
      </c>
      <c r="D248" t="s">
        <v>16</v>
      </c>
      <c r="E248">
        <v>54479.33</v>
      </c>
      <c r="F248">
        <v>5012</v>
      </c>
      <c r="G248">
        <v>0.28399999999999997</v>
      </c>
      <c r="H248">
        <v>13</v>
      </c>
      <c r="I248">
        <v>86</v>
      </c>
      <c r="J248">
        <v>2.2400000000000002</v>
      </c>
      <c r="K248">
        <v>1</v>
      </c>
      <c r="L248">
        <v>4.3</v>
      </c>
      <c r="M248">
        <v>578949.84</v>
      </c>
      <c r="N248">
        <v>80253.649999999994</v>
      </c>
      <c r="O248">
        <f t="shared" si="9"/>
        <v>0</v>
      </c>
      <c r="P248">
        <f t="shared" si="11"/>
        <v>0</v>
      </c>
      <c r="Q248">
        <f t="shared" si="10"/>
        <v>0</v>
      </c>
    </row>
    <row r="249" spans="1:17">
      <c r="A249" t="s">
        <v>95</v>
      </c>
      <c r="B249" s="2">
        <v>45658</v>
      </c>
      <c r="C249" t="s">
        <v>27</v>
      </c>
      <c r="D249" t="s">
        <v>18</v>
      </c>
      <c r="E249">
        <v>51996.32</v>
      </c>
      <c r="F249">
        <v>3834</v>
      </c>
      <c r="G249">
        <v>9.6000000000000002E-2</v>
      </c>
      <c r="H249">
        <v>8</v>
      </c>
      <c r="I249">
        <v>86.7</v>
      </c>
      <c r="J249">
        <v>6.04</v>
      </c>
      <c r="K249">
        <v>0</v>
      </c>
      <c r="L249">
        <v>4.5</v>
      </c>
      <c r="M249">
        <v>546223.69999999995</v>
      </c>
      <c r="N249">
        <v>100769.17</v>
      </c>
      <c r="O249">
        <f t="shared" si="9"/>
        <v>1</v>
      </c>
      <c r="P249">
        <f t="shared" si="11"/>
        <v>0</v>
      </c>
      <c r="Q249">
        <f t="shared" si="10"/>
        <v>0</v>
      </c>
    </row>
    <row r="250" spans="1:17">
      <c r="A250" t="s">
        <v>70</v>
      </c>
      <c r="B250" s="2">
        <v>45658</v>
      </c>
      <c r="C250" t="s">
        <v>27</v>
      </c>
      <c r="D250" t="s">
        <v>16</v>
      </c>
      <c r="E250">
        <v>81796.740000000005</v>
      </c>
      <c r="F250">
        <v>6177</v>
      </c>
      <c r="G250">
        <v>0.16400000000000001</v>
      </c>
      <c r="H250">
        <v>14</v>
      </c>
      <c r="I250">
        <v>87.9</v>
      </c>
      <c r="J250">
        <v>0.53</v>
      </c>
      <c r="K250">
        <v>0</v>
      </c>
      <c r="L250">
        <v>3.2</v>
      </c>
      <c r="M250">
        <v>643428.85</v>
      </c>
      <c r="N250">
        <v>94477.63</v>
      </c>
      <c r="O250">
        <f t="shared" si="9"/>
        <v>0</v>
      </c>
      <c r="P250">
        <f t="shared" si="11"/>
        <v>0</v>
      </c>
      <c r="Q250">
        <f t="shared" si="10"/>
        <v>0</v>
      </c>
    </row>
    <row r="251" spans="1:17">
      <c r="A251" t="s">
        <v>40</v>
      </c>
      <c r="B251" s="2">
        <v>45748</v>
      </c>
      <c r="C251" t="s">
        <v>15</v>
      </c>
      <c r="D251" t="s">
        <v>16</v>
      </c>
      <c r="E251">
        <v>58749.63</v>
      </c>
      <c r="F251">
        <v>8252</v>
      </c>
      <c r="G251">
        <v>0.20300000000000001</v>
      </c>
      <c r="H251">
        <v>20</v>
      </c>
      <c r="I251">
        <v>85.2</v>
      </c>
      <c r="J251">
        <v>3.61</v>
      </c>
      <c r="K251">
        <v>0</v>
      </c>
      <c r="L251">
        <v>4.5</v>
      </c>
      <c r="M251">
        <v>680840.36</v>
      </c>
      <c r="N251">
        <v>68007.679999999993</v>
      </c>
      <c r="O251">
        <f t="shared" si="9"/>
        <v>0</v>
      </c>
      <c r="P251">
        <f t="shared" si="11"/>
        <v>0</v>
      </c>
      <c r="Q251">
        <f t="shared" si="10"/>
        <v>0</v>
      </c>
    </row>
    <row r="252" spans="1:17">
      <c r="A252" t="s">
        <v>58</v>
      </c>
      <c r="B252" s="2">
        <v>45658</v>
      </c>
      <c r="C252" t="s">
        <v>20</v>
      </c>
      <c r="D252" t="s">
        <v>16</v>
      </c>
      <c r="E252">
        <v>70488.2</v>
      </c>
      <c r="F252">
        <v>4312</v>
      </c>
      <c r="G252">
        <v>0.16900000000000001</v>
      </c>
      <c r="H252">
        <v>12</v>
      </c>
      <c r="I252">
        <v>90.2</v>
      </c>
      <c r="J252">
        <v>3.71</v>
      </c>
      <c r="K252">
        <v>0</v>
      </c>
      <c r="L252">
        <v>3.2</v>
      </c>
      <c r="M252">
        <v>577732.56999999995</v>
      </c>
      <c r="N252">
        <v>93804.27</v>
      </c>
      <c r="O252">
        <f t="shared" si="9"/>
        <v>0</v>
      </c>
      <c r="P252">
        <f t="shared" si="11"/>
        <v>0</v>
      </c>
      <c r="Q252">
        <f t="shared" si="10"/>
        <v>0</v>
      </c>
    </row>
    <row r="253" spans="1:17">
      <c r="A253" t="s">
        <v>65</v>
      </c>
      <c r="B253" s="2">
        <v>45689</v>
      </c>
      <c r="C253" t="s">
        <v>15</v>
      </c>
      <c r="D253" t="s">
        <v>16</v>
      </c>
      <c r="E253">
        <v>43645.98</v>
      </c>
      <c r="F253">
        <v>9480</v>
      </c>
      <c r="G253">
        <v>0.109</v>
      </c>
      <c r="H253">
        <v>22</v>
      </c>
      <c r="I253">
        <v>89</v>
      </c>
      <c r="J253">
        <v>2.11</v>
      </c>
      <c r="K253">
        <v>0</v>
      </c>
      <c r="L253">
        <v>3.1</v>
      </c>
      <c r="M253">
        <v>721364.11</v>
      </c>
      <c r="N253">
        <v>147272.81</v>
      </c>
      <c r="O253">
        <f t="shared" si="9"/>
        <v>0</v>
      </c>
      <c r="P253">
        <f t="shared" si="11"/>
        <v>0</v>
      </c>
      <c r="Q253">
        <f t="shared" si="10"/>
        <v>0</v>
      </c>
    </row>
    <row r="254" spans="1:17">
      <c r="A254" t="s">
        <v>64</v>
      </c>
      <c r="B254" s="2">
        <v>45658</v>
      </c>
      <c r="C254" t="s">
        <v>15</v>
      </c>
      <c r="D254" t="s">
        <v>16</v>
      </c>
      <c r="E254">
        <v>62059.18</v>
      </c>
      <c r="F254">
        <v>9374</v>
      </c>
      <c r="G254">
        <v>0.13600000000000001</v>
      </c>
      <c r="H254">
        <v>25</v>
      </c>
      <c r="I254">
        <v>87.1</v>
      </c>
      <c r="J254">
        <v>12.55</v>
      </c>
      <c r="K254">
        <v>0</v>
      </c>
      <c r="L254">
        <v>4.9000000000000004</v>
      </c>
      <c r="M254">
        <v>739831.73</v>
      </c>
      <c r="N254">
        <v>119490.21</v>
      </c>
      <c r="O254">
        <f t="shared" si="9"/>
        <v>0</v>
      </c>
      <c r="P254">
        <f t="shared" si="11"/>
        <v>0</v>
      </c>
      <c r="Q254">
        <f t="shared" si="10"/>
        <v>0</v>
      </c>
    </row>
    <row r="255" spans="1:17">
      <c r="A255" t="s">
        <v>33</v>
      </c>
      <c r="B255" s="2">
        <v>45689</v>
      </c>
      <c r="C255" t="s">
        <v>27</v>
      </c>
      <c r="D255" t="s">
        <v>16</v>
      </c>
      <c r="E255">
        <v>63630.21</v>
      </c>
      <c r="F255">
        <v>4460</v>
      </c>
      <c r="G255">
        <v>0.23499999999999999</v>
      </c>
      <c r="H255">
        <v>14</v>
      </c>
      <c r="I255">
        <v>98.6</v>
      </c>
      <c r="J255">
        <v>5.52</v>
      </c>
      <c r="K255">
        <v>0</v>
      </c>
      <c r="L255">
        <v>3.5</v>
      </c>
      <c r="M255">
        <v>599603.4</v>
      </c>
      <c r="N255">
        <v>112685.12</v>
      </c>
      <c r="O255">
        <f t="shared" si="9"/>
        <v>0</v>
      </c>
      <c r="P255">
        <f t="shared" si="11"/>
        <v>0</v>
      </c>
      <c r="Q255">
        <f t="shared" si="10"/>
        <v>0</v>
      </c>
    </row>
    <row r="256" spans="1:17">
      <c r="A256" t="s">
        <v>29</v>
      </c>
      <c r="B256" s="2">
        <v>45717</v>
      </c>
      <c r="C256" t="s">
        <v>15</v>
      </c>
      <c r="D256" t="s">
        <v>16</v>
      </c>
      <c r="E256">
        <v>44970.080000000002</v>
      </c>
      <c r="F256">
        <v>2471</v>
      </c>
      <c r="G256">
        <v>0.13600000000000001</v>
      </c>
      <c r="H256">
        <v>11</v>
      </c>
      <c r="I256">
        <v>87.6</v>
      </c>
      <c r="J256">
        <v>3.01</v>
      </c>
      <c r="K256">
        <v>1</v>
      </c>
      <c r="L256">
        <v>3.7</v>
      </c>
      <c r="M256">
        <v>500173.02</v>
      </c>
      <c r="N256">
        <v>70982.05</v>
      </c>
      <c r="O256">
        <f t="shared" si="9"/>
        <v>0</v>
      </c>
      <c r="P256">
        <f t="shared" si="11"/>
        <v>0</v>
      </c>
      <c r="Q256">
        <f t="shared" si="10"/>
        <v>0</v>
      </c>
    </row>
    <row r="257" spans="1:17">
      <c r="A257" t="s">
        <v>50</v>
      </c>
      <c r="B257" s="2">
        <v>45717</v>
      </c>
      <c r="C257" t="s">
        <v>27</v>
      </c>
      <c r="D257" t="s">
        <v>28</v>
      </c>
      <c r="E257">
        <v>33605.18</v>
      </c>
      <c r="F257">
        <v>9225</v>
      </c>
      <c r="G257">
        <v>0.159</v>
      </c>
      <c r="H257">
        <v>23</v>
      </c>
      <c r="I257">
        <v>88.4</v>
      </c>
      <c r="J257">
        <v>5.91</v>
      </c>
      <c r="K257">
        <v>0</v>
      </c>
      <c r="L257">
        <v>2.8</v>
      </c>
      <c r="M257">
        <v>697287.9</v>
      </c>
      <c r="N257">
        <v>128208.33</v>
      </c>
      <c r="O257">
        <f t="shared" si="9"/>
        <v>0</v>
      </c>
      <c r="P257">
        <f t="shared" si="11"/>
        <v>1</v>
      </c>
      <c r="Q257">
        <f t="shared" si="10"/>
        <v>0</v>
      </c>
    </row>
    <row r="258" spans="1:17">
      <c r="A258" t="s">
        <v>71</v>
      </c>
      <c r="B258" s="2">
        <v>45689</v>
      </c>
      <c r="C258" t="s">
        <v>20</v>
      </c>
      <c r="D258" t="s">
        <v>16</v>
      </c>
      <c r="E258">
        <v>54002.83</v>
      </c>
      <c r="F258">
        <v>4366</v>
      </c>
      <c r="G258">
        <v>2.7E-2</v>
      </c>
      <c r="H258">
        <v>15</v>
      </c>
      <c r="I258">
        <v>90.6</v>
      </c>
      <c r="J258">
        <v>12.82</v>
      </c>
      <c r="K258">
        <v>0</v>
      </c>
      <c r="L258">
        <v>4.5999999999999996</v>
      </c>
      <c r="M258">
        <v>574066.61</v>
      </c>
      <c r="N258">
        <v>124674.67</v>
      </c>
      <c r="O258">
        <f t="shared" ref="O258:O321" si="12">IF(D258="High Street",1,0)</f>
        <v>0</v>
      </c>
      <c r="P258">
        <f t="shared" si="11"/>
        <v>0</v>
      </c>
      <c r="Q258">
        <f t="shared" ref="Q258:Q321" si="13">IF(D258="Airport",1,0)</f>
        <v>0</v>
      </c>
    </row>
    <row r="259" spans="1:17">
      <c r="A259" t="s">
        <v>39</v>
      </c>
      <c r="B259" s="2">
        <v>45689</v>
      </c>
      <c r="C259" t="s">
        <v>15</v>
      </c>
      <c r="D259" t="s">
        <v>18</v>
      </c>
      <c r="E259">
        <v>36813.449999999997</v>
      </c>
      <c r="F259">
        <v>2834</v>
      </c>
      <c r="G259">
        <v>0.191</v>
      </c>
      <c r="H259">
        <v>11</v>
      </c>
      <c r="I259">
        <v>81.8</v>
      </c>
      <c r="J259">
        <v>2.33</v>
      </c>
      <c r="K259">
        <v>0</v>
      </c>
      <c r="L259">
        <v>3.3</v>
      </c>
      <c r="M259">
        <v>479050.5</v>
      </c>
      <c r="N259">
        <v>53651.11</v>
      </c>
      <c r="O259">
        <f t="shared" si="12"/>
        <v>1</v>
      </c>
      <c r="P259">
        <f t="shared" ref="P259:P281" si="14">IF(D259="Mall",1,0)</f>
        <v>0</v>
      </c>
      <c r="Q259">
        <f t="shared" si="13"/>
        <v>0</v>
      </c>
    </row>
    <row r="260" spans="1:17">
      <c r="A260" t="s">
        <v>99</v>
      </c>
      <c r="B260" s="2">
        <v>45689</v>
      </c>
      <c r="C260" t="s">
        <v>24</v>
      </c>
      <c r="D260" t="s">
        <v>18</v>
      </c>
      <c r="E260">
        <v>23702.38</v>
      </c>
      <c r="F260">
        <v>5285</v>
      </c>
      <c r="G260">
        <v>0.16700000000000001</v>
      </c>
      <c r="H260">
        <v>14</v>
      </c>
      <c r="I260">
        <v>79.7</v>
      </c>
      <c r="J260">
        <v>1.1000000000000001</v>
      </c>
      <c r="K260">
        <v>0</v>
      </c>
      <c r="L260">
        <v>4.3</v>
      </c>
      <c r="M260">
        <v>536524.84</v>
      </c>
      <c r="N260">
        <v>92752.94</v>
      </c>
      <c r="O260">
        <f t="shared" si="12"/>
        <v>1</v>
      </c>
      <c r="P260">
        <f t="shared" si="14"/>
        <v>0</v>
      </c>
      <c r="Q260">
        <f t="shared" si="13"/>
        <v>0</v>
      </c>
    </row>
    <row r="261" spans="1:17">
      <c r="A261" t="s">
        <v>58</v>
      </c>
      <c r="B261" s="2">
        <v>45689</v>
      </c>
      <c r="C261" t="s">
        <v>20</v>
      </c>
      <c r="D261" t="s">
        <v>16</v>
      </c>
      <c r="E261">
        <v>50909.27</v>
      </c>
      <c r="F261">
        <v>3152</v>
      </c>
      <c r="G261">
        <v>0.06</v>
      </c>
      <c r="H261">
        <v>13</v>
      </c>
      <c r="I261">
        <v>93.7</v>
      </c>
      <c r="J261">
        <v>10.79</v>
      </c>
      <c r="K261">
        <v>0</v>
      </c>
      <c r="L261">
        <v>3.5</v>
      </c>
      <c r="M261">
        <v>537058.32999999996</v>
      </c>
      <c r="N261">
        <v>93555.71</v>
      </c>
      <c r="O261">
        <f t="shared" si="12"/>
        <v>0</v>
      </c>
      <c r="P261">
        <f t="shared" si="14"/>
        <v>0</v>
      </c>
      <c r="Q261">
        <f t="shared" si="13"/>
        <v>0</v>
      </c>
    </row>
    <row r="262" spans="1:17">
      <c r="A262" t="s">
        <v>60</v>
      </c>
      <c r="B262" s="2">
        <v>45717</v>
      </c>
      <c r="C262" t="s">
        <v>15</v>
      </c>
      <c r="D262" t="s">
        <v>18</v>
      </c>
      <c r="E262">
        <v>61433.84</v>
      </c>
      <c r="F262">
        <v>7745</v>
      </c>
      <c r="G262">
        <v>0.18</v>
      </c>
      <c r="H262">
        <v>16</v>
      </c>
      <c r="I262">
        <v>90.5</v>
      </c>
      <c r="J262">
        <v>2.2599999999999998</v>
      </c>
      <c r="K262">
        <v>0</v>
      </c>
      <c r="L262">
        <v>4.2</v>
      </c>
      <c r="M262">
        <v>685830.24</v>
      </c>
      <c r="N262">
        <v>128736.18</v>
      </c>
      <c r="O262">
        <f t="shared" si="12"/>
        <v>1</v>
      </c>
      <c r="P262">
        <f t="shared" si="14"/>
        <v>0</v>
      </c>
      <c r="Q262">
        <f t="shared" si="13"/>
        <v>0</v>
      </c>
    </row>
    <row r="263" spans="1:17">
      <c r="A263" t="s">
        <v>73</v>
      </c>
      <c r="B263" s="2">
        <v>45717</v>
      </c>
      <c r="C263" t="s">
        <v>15</v>
      </c>
      <c r="D263" t="s">
        <v>28</v>
      </c>
      <c r="E263">
        <v>37983.35</v>
      </c>
      <c r="F263">
        <v>9283</v>
      </c>
      <c r="G263">
        <v>0.14899999999999999</v>
      </c>
      <c r="H263">
        <v>19</v>
      </c>
      <c r="I263">
        <v>83.2</v>
      </c>
      <c r="J263">
        <v>3.82</v>
      </c>
      <c r="K263">
        <v>0</v>
      </c>
      <c r="L263">
        <v>3.7</v>
      </c>
      <c r="M263">
        <v>671868.59</v>
      </c>
      <c r="N263">
        <v>71003.28</v>
      </c>
      <c r="O263">
        <f t="shared" si="12"/>
        <v>0</v>
      </c>
      <c r="P263">
        <f t="shared" si="14"/>
        <v>1</v>
      </c>
      <c r="Q263">
        <f t="shared" si="13"/>
        <v>0</v>
      </c>
    </row>
    <row r="264" spans="1:17">
      <c r="A264" t="s">
        <v>101</v>
      </c>
      <c r="B264" s="2">
        <v>45748</v>
      </c>
      <c r="C264" t="s">
        <v>15</v>
      </c>
      <c r="D264" t="s">
        <v>16</v>
      </c>
      <c r="E264">
        <v>40553.11</v>
      </c>
      <c r="F264">
        <v>5317</v>
      </c>
      <c r="G264">
        <v>0.16500000000000001</v>
      </c>
      <c r="H264">
        <v>17</v>
      </c>
      <c r="I264">
        <v>84.3</v>
      </c>
      <c r="J264">
        <v>11.82</v>
      </c>
      <c r="K264">
        <v>0</v>
      </c>
      <c r="L264">
        <v>4.0999999999999996</v>
      </c>
      <c r="M264">
        <v>559660.84</v>
      </c>
      <c r="N264">
        <v>71443.61</v>
      </c>
      <c r="O264">
        <f t="shared" si="12"/>
        <v>0</v>
      </c>
      <c r="P264">
        <f t="shared" si="14"/>
        <v>0</v>
      </c>
      <c r="Q264">
        <f t="shared" si="13"/>
        <v>0</v>
      </c>
    </row>
    <row r="265" spans="1:17">
      <c r="A265" t="s">
        <v>79</v>
      </c>
      <c r="B265" s="2">
        <v>45717</v>
      </c>
      <c r="C265" t="s">
        <v>15</v>
      </c>
      <c r="D265" t="s">
        <v>18</v>
      </c>
      <c r="E265">
        <v>33173.949999999997</v>
      </c>
      <c r="F265">
        <v>6545</v>
      </c>
      <c r="G265">
        <v>0.16900000000000001</v>
      </c>
      <c r="H265">
        <v>15</v>
      </c>
      <c r="I265">
        <v>84.4</v>
      </c>
      <c r="J265">
        <v>2.48</v>
      </c>
      <c r="K265">
        <v>0</v>
      </c>
      <c r="L265">
        <v>3.9</v>
      </c>
      <c r="M265">
        <v>596969.27</v>
      </c>
      <c r="N265">
        <v>105669.51</v>
      </c>
      <c r="O265">
        <f t="shared" si="12"/>
        <v>1</v>
      </c>
      <c r="P265">
        <f t="shared" si="14"/>
        <v>0</v>
      </c>
      <c r="Q265">
        <f t="shared" si="13"/>
        <v>0</v>
      </c>
    </row>
    <row r="266" spans="1:17">
      <c r="A266" t="s">
        <v>92</v>
      </c>
      <c r="B266" s="2">
        <v>45689</v>
      </c>
      <c r="C266" t="s">
        <v>24</v>
      </c>
      <c r="D266" t="s">
        <v>18</v>
      </c>
      <c r="E266">
        <v>34771.26</v>
      </c>
      <c r="F266">
        <v>4355</v>
      </c>
      <c r="G266">
        <v>5.0999999999999997E-2</v>
      </c>
      <c r="H266">
        <v>15</v>
      </c>
      <c r="I266">
        <v>87.9</v>
      </c>
      <c r="J266">
        <v>3.09</v>
      </c>
      <c r="K266">
        <v>0</v>
      </c>
      <c r="L266">
        <v>4</v>
      </c>
      <c r="M266">
        <v>555557.77</v>
      </c>
      <c r="N266">
        <v>86475.51</v>
      </c>
      <c r="O266">
        <f t="shared" si="12"/>
        <v>1</v>
      </c>
      <c r="P266">
        <f t="shared" si="14"/>
        <v>0</v>
      </c>
      <c r="Q266">
        <f t="shared" si="13"/>
        <v>0</v>
      </c>
    </row>
    <row r="267" spans="1:17">
      <c r="A267" t="s">
        <v>72</v>
      </c>
      <c r="B267" s="2">
        <v>45658</v>
      </c>
      <c r="C267" t="s">
        <v>15</v>
      </c>
      <c r="D267" t="s">
        <v>21</v>
      </c>
      <c r="E267">
        <v>22312.93</v>
      </c>
      <c r="F267">
        <v>5955</v>
      </c>
      <c r="G267">
        <v>0.123</v>
      </c>
      <c r="H267">
        <v>13</v>
      </c>
      <c r="I267">
        <v>84.2</v>
      </c>
      <c r="J267">
        <v>0.41</v>
      </c>
      <c r="K267">
        <v>1</v>
      </c>
      <c r="L267">
        <v>4.5999999999999996</v>
      </c>
      <c r="M267">
        <v>598904.9</v>
      </c>
      <c r="N267">
        <v>72861</v>
      </c>
      <c r="O267">
        <f t="shared" si="12"/>
        <v>0</v>
      </c>
      <c r="P267">
        <f t="shared" si="14"/>
        <v>0</v>
      </c>
      <c r="Q267">
        <f t="shared" si="13"/>
        <v>1</v>
      </c>
    </row>
    <row r="268" spans="1:17">
      <c r="A268" t="s">
        <v>36</v>
      </c>
      <c r="B268" s="2">
        <v>45658</v>
      </c>
      <c r="C268" t="s">
        <v>15</v>
      </c>
      <c r="D268" t="s">
        <v>21</v>
      </c>
      <c r="E268">
        <v>19365.060000000001</v>
      </c>
      <c r="F268">
        <v>2378</v>
      </c>
      <c r="G268">
        <v>0</v>
      </c>
      <c r="H268">
        <v>12</v>
      </c>
      <c r="I268">
        <v>94.8</v>
      </c>
      <c r="J268">
        <v>0.2</v>
      </c>
      <c r="K268">
        <v>0</v>
      </c>
      <c r="L268">
        <v>3.5</v>
      </c>
      <c r="M268">
        <v>518049.26</v>
      </c>
      <c r="N268">
        <v>108592.49</v>
      </c>
      <c r="O268">
        <f t="shared" si="12"/>
        <v>0</v>
      </c>
      <c r="P268">
        <f t="shared" si="14"/>
        <v>0</v>
      </c>
      <c r="Q268">
        <f t="shared" si="13"/>
        <v>1</v>
      </c>
    </row>
    <row r="269" spans="1:17">
      <c r="A269" t="s">
        <v>62</v>
      </c>
      <c r="B269" s="2">
        <v>45658</v>
      </c>
      <c r="C269" t="s">
        <v>24</v>
      </c>
      <c r="D269" t="s">
        <v>18</v>
      </c>
      <c r="E269">
        <v>41443.410000000003</v>
      </c>
      <c r="F269">
        <v>7455</v>
      </c>
      <c r="G269">
        <v>0.17499999999999999</v>
      </c>
      <c r="H269">
        <v>16</v>
      </c>
      <c r="I269">
        <v>90.1</v>
      </c>
      <c r="J269">
        <v>4.05</v>
      </c>
      <c r="K269">
        <v>0</v>
      </c>
      <c r="L269">
        <v>4</v>
      </c>
      <c r="M269">
        <v>650480.06000000006</v>
      </c>
      <c r="N269">
        <v>109012.07</v>
      </c>
      <c r="O269">
        <f t="shared" si="12"/>
        <v>1</v>
      </c>
      <c r="P269">
        <f t="shared" si="14"/>
        <v>0</v>
      </c>
      <c r="Q269">
        <f t="shared" si="13"/>
        <v>0</v>
      </c>
    </row>
    <row r="270" spans="1:17">
      <c r="A270" t="s">
        <v>72</v>
      </c>
      <c r="B270" s="2">
        <v>45748</v>
      </c>
      <c r="C270" t="s">
        <v>15</v>
      </c>
      <c r="D270" t="s">
        <v>21</v>
      </c>
      <c r="E270">
        <v>64104.28</v>
      </c>
      <c r="F270">
        <v>6015</v>
      </c>
      <c r="G270">
        <v>0.127</v>
      </c>
      <c r="H270">
        <v>15</v>
      </c>
      <c r="I270">
        <v>88.7</v>
      </c>
      <c r="J270">
        <v>0.78</v>
      </c>
      <c r="K270">
        <v>0</v>
      </c>
      <c r="L270">
        <v>4</v>
      </c>
      <c r="M270">
        <v>650795.49</v>
      </c>
      <c r="N270">
        <v>103035.89</v>
      </c>
      <c r="O270">
        <f t="shared" si="12"/>
        <v>0</v>
      </c>
      <c r="P270">
        <f t="shared" si="14"/>
        <v>0</v>
      </c>
      <c r="Q270">
        <f t="shared" si="13"/>
        <v>1</v>
      </c>
    </row>
    <row r="271" spans="1:17">
      <c r="A271" t="s">
        <v>38</v>
      </c>
      <c r="B271" s="2">
        <v>45658</v>
      </c>
      <c r="C271" t="s">
        <v>27</v>
      </c>
      <c r="D271" t="s">
        <v>18</v>
      </c>
      <c r="E271">
        <v>70040.31</v>
      </c>
      <c r="F271">
        <v>9175</v>
      </c>
      <c r="G271">
        <v>0.107</v>
      </c>
      <c r="H271">
        <v>23</v>
      </c>
      <c r="I271">
        <v>95.1</v>
      </c>
      <c r="J271">
        <v>6.08</v>
      </c>
      <c r="K271">
        <v>1</v>
      </c>
      <c r="L271">
        <v>3.4</v>
      </c>
      <c r="M271">
        <v>784502.68</v>
      </c>
      <c r="N271">
        <v>129519.72</v>
      </c>
      <c r="O271">
        <f t="shared" si="12"/>
        <v>1</v>
      </c>
      <c r="P271">
        <f t="shared" si="14"/>
        <v>0</v>
      </c>
      <c r="Q271">
        <f t="shared" si="13"/>
        <v>0</v>
      </c>
    </row>
    <row r="272" spans="1:17">
      <c r="A272" t="s">
        <v>74</v>
      </c>
      <c r="B272" s="2">
        <v>45717</v>
      </c>
      <c r="C272" t="s">
        <v>15</v>
      </c>
      <c r="D272" t="s">
        <v>18</v>
      </c>
      <c r="E272">
        <v>107970.19</v>
      </c>
      <c r="F272">
        <v>12870</v>
      </c>
      <c r="G272">
        <v>2.9000000000000001E-2</v>
      </c>
      <c r="H272">
        <v>31</v>
      </c>
      <c r="I272">
        <v>91.7</v>
      </c>
      <c r="J272">
        <v>3.82</v>
      </c>
      <c r="K272">
        <v>1</v>
      </c>
      <c r="L272">
        <v>3.7</v>
      </c>
      <c r="M272">
        <v>946833.54</v>
      </c>
      <c r="N272">
        <v>184540.31</v>
      </c>
      <c r="O272">
        <f t="shared" si="12"/>
        <v>1</v>
      </c>
      <c r="P272">
        <f t="shared" si="14"/>
        <v>0</v>
      </c>
      <c r="Q272">
        <f t="shared" si="13"/>
        <v>0</v>
      </c>
    </row>
    <row r="273" spans="1:17">
      <c r="A273" t="s">
        <v>22</v>
      </c>
      <c r="B273" s="2">
        <v>45689</v>
      </c>
      <c r="C273" t="s">
        <v>15</v>
      </c>
      <c r="D273" t="s">
        <v>16</v>
      </c>
      <c r="E273">
        <v>55716.82</v>
      </c>
      <c r="F273">
        <v>10054</v>
      </c>
      <c r="G273">
        <v>0.14599999999999999</v>
      </c>
      <c r="H273">
        <v>24</v>
      </c>
      <c r="I273">
        <v>84.9</v>
      </c>
      <c r="J273">
        <v>1.06</v>
      </c>
      <c r="K273">
        <v>0</v>
      </c>
      <c r="L273">
        <v>4.3</v>
      </c>
      <c r="M273">
        <v>726606.28</v>
      </c>
      <c r="N273">
        <v>122729.29</v>
      </c>
      <c r="O273">
        <f t="shared" si="12"/>
        <v>0</v>
      </c>
      <c r="P273">
        <f t="shared" si="14"/>
        <v>0</v>
      </c>
      <c r="Q273">
        <f t="shared" si="13"/>
        <v>0</v>
      </c>
    </row>
    <row r="274" spans="1:17">
      <c r="A274" t="s">
        <v>83</v>
      </c>
      <c r="B274" s="2">
        <v>45717</v>
      </c>
      <c r="C274" t="s">
        <v>15</v>
      </c>
      <c r="D274" t="s">
        <v>18</v>
      </c>
      <c r="E274">
        <v>57390.04</v>
      </c>
      <c r="F274">
        <v>7374</v>
      </c>
      <c r="G274">
        <v>0.21</v>
      </c>
      <c r="H274">
        <v>21</v>
      </c>
      <c r="I274">
        <v>91.8</v>
      </c>
      <c r="J274">
        <v>0.2</v>
      </c>
      <c r="K274">
        <v>0</v>
      </c>
      <c r="L274">
        <v>3.1</v>
      </c>
      <c r="M274">
        <v>679230.86</v>
      </c>
      <c r="N274">
        <v>106927.58</v>
      </c>
      <c r="O274">
        <f t="shared" si="12"/>
        <v>1</v>
      </c>
      <c r="P274">
        <f t="shared" si="14"/>
        <v>0</v>
      </c>
      <c r="Q274">
        <f t="shared" si="13"/>
        <v>0</v>
      </c>
    </row>
    <row r="275" spans="1:17">
      <c r="A275" t="s">
        <v>81</v>
      </c>
      <c r="B275" s="2">
        <v>45658</v>
      </c>
      <c r="C275" t="s">
        <v>27</v>
      </c>
      <c r="D275" t="s">
        <v>28</v>
      </c>
      <c r="E275">
        <v>46495.4</v>
      </c>
      <c r="F275">
        <v>9908</v>
      </c>
      <c r="G275">
        <v>0.121</v>
      </c>
      <c r="H275">
        <v>22</v>
      </c>
      <c r="I275">
        <v>89.4</v>
      </c>
      <c r="J275">
        <v>3.22</v>
      </c>
      <c r="K275">
        <v>0</v>
      </c>
      <c r="L275">
        <v>3.7</v>
      </c>
      <c r="M275">
        <v>721079.35</v>
      </c>
      <c r="N275">
        <v>115295.05</v>
      </c>
      <c r="O275">
        <f t="shared" si="12"/>
        <v>0</v>
      </c>
      <c r="P275">
        <f t="shared" si="14"/>
        <v>1</v>
      </c>
      <c r="Q275">
        <f t="shared" si="13"/>
        <v>0</v>
      </c>
    </row>
    <row r="276" spans="1:17">
      <c r="A276" t="s">
        <v>30</v>
      </c>
      <c r="B276" s="2">
        <v>45689</v>
      </c>
      <c r="C276" t="s">
        <v>20</v>
      </c>
      <c r="D276" t="s">
        <v>16</v>
      </c>
      <c r="E276">
        <v>73771.91</v>
      </c>
      <c r="F276">
        <v>11695</v>
      </c>
      <c r="G276">
        <v>7.0000000000000007E-2</v>
      </c>
      <c r="H276">
        <v>25</v>
      </c>
      <c r="I276">
        <v>84.7</v>
      </c>
      <c r="J276">
        <v>0.62</v>
      </c>
      <c r="K276">
        <v>0</v>
      </c>
      <c r="M276">
        <v>799477.76000000001</v>
      </c>
      <c r="N276">
        <v>164974.41</v>
      </c>
      <c r="O276">
        <f t="shared" si="12"/>
        <v>0</v>
      </c>
      <c r="P276">
        <f t="shared" si="14"/>
        <v>0</v>
      </c>
      <c r="Q276">
        <f t="shared" si="13"/>
        <v>0</v>
      </c>
    </row>
    <row r="277" spans="1:17">
      <c r="A277" t="s">
        <v>36</v>
      </c>
      <c r="B277" s="2">
        <v>45689</v>
      </c>
      <c r="C277" t="s">
        <v>15</v>
      </c>
      <c r="D277" t="s">
        <v>21</v>
      </c>
      <c r="E277">
        <v>59405.68</v>
      </c>
      <c r="F277">
        <v>2515</v>
      </c>
      <c r="G277">
        <v>3.9E-2</v>
      </c>
      <c r="H277">
        <v>12</v>
      </c>
      <c r="I277">
        <v>76</v>
      </c>
      <c r="J277">
        <v>5.1100000000000003</v>
      </c>
      <c r="K277">
        <v>0</v>
      </c>
      <c r="L277">
        <v>3.7</v>
      </c>
      <c r="M277">
        <v>500298.48</v>
      </c>
      <c r="N277">
        <v>73461.320000000007</v>
      </c>
      <c r="O277">
        <f t="shared" si="12"/>
        <v>0</v>
      </c>
      <c r="P277">
        <f t="shared" si="14"/>
        <v>0</v>
      </c>
      <c r="Q277">
        <f t="shared" si="13"/>
        <v>1</v>
      </c>
    </row>
    <row r="278" spans="1:17">
      <c r="A278" t="s">
        <v>52</v>
      </c>
      <c r="B278" s="2">
        <v>45717</v>
      </c>
      <c r="C278" t="s">
        <v>20</v>
      </c>
      <c r="D278" t="s">
        <v>18</v>
      </c>
      <c r="E278">
        <v>48396.13</v>
      </c>
      <c r="F278">
        <v>4423</v>
      </c>
      <c r="G278">
        <v>6.9000000000000006E-2</v>
      </c>
      <c r="H278">
        <v>15</v>
      </c>
      <c r="I278">
        <v>85.7</v>
      </c>
      <c r="J278">
        <v>1.88</v>
      </c>
      <c r="K278">
        <v>0</v>
      </c>
      <c r="L278">
        <v>3.9</v>
      </c>
      <c r="M278">
        <v>557487.26</v>
      </c>
      <c r="N278">
        <v>76432.19</v>
      </c>
      <c r="O278">
        <f t="shared" si="12"/>
        <v>1</v>
      </c>
      <c r="P278">
        <f t="shared" si="14"/>
        <v>0</v>
      </c>
      <c r="Q278">
        <f t="shared" si="13"/>
        <v>0</v>
      </c>
    </row>
    <row r="279" spans="1:17">
      <c r="A279" t="s">
        <v>77</v>
      </c>
      <c r="B279" s="2">
        <v>45748</v>
      </c>
      <c r="C279" t="s">
        <v>15</v>
      </c>
      <c r="D279" t="s">
        <v>18</v>
      </c>
      <c r="E279">
        <v>73540.990000000005</v>
      </c>
      <c r="F279">
        <v>8773</v>
      </c>
      <c r="G279">
        <v>3.5000000000000003E-2</v>
      </c>
      <c r="H279">
        <v>21</v>
      </c>
      <c r="I279">
        <v>84.4</v>
      </c>
      <c r="J279">
        <v>6.68</v>
      </c>
      <c r="K279">
        <v>0</v>
      </c>
      <c r="L279">
        <v>3.6</v>
      </c>
      <c r="M279">
        <v>723531.4</v>
      </c>
      <c r="N279">
        <v>108794.85</v>
      </c>
      <c r="O279">
        <f t="shared" si="12"/>
        <v>1</v>
      </c>
      <c r="P279">
        <f t="shared" si="14"/>
        <v>0</v>
      </c>
      <c r="Q279">
        <f t="shared" si="13"/>
        <v>0</v>
      </c>
    </row>
    <row r="280" spans="1:17">
      <c r="A280" t="s">
        <v>98</v>
      </c>
      <c r="B280" s="2">
        <v>45748</v>
      </c>
      <c r="C280" t="s">
        <v>24</v>
      </c>
      <c r="D280" t="s">
        <v>16</v>
      </c>
      <c r="E280">
        <v>60684.05</v>
      </c>
      <c r="F280">
        <v>6399</v>
      </c>
      <c r="G280">
        <v>7.4999999999999997E-2</v>
      </c>
      <c r="H280">
        <v>16</v>
      </c>
      <c r="I280">
        <v>99</v>
      </c>
      <c r="J280">
        <v>3.82</v>
      </c>
      <c r="K280">
        <v>0</v>
      </c>
      <c r="L280">
        <v>3.5</v>
      </c>
      <c r="M280">
        <v>651164.18000000005</v>
      </c>
      <c r="N280">
        <v>109466.5</v>
      </c>
      <c r="O280">
        <f t="shared" si="12"/>
        <v>0</v>
      </c>
      <c r="P280">
        <f t="shared" si="14"/>
        <v>0</v>
      </c>
      <c r="Q280">
        <f t="shared" si="13"/>
        <v>0</v>
      </c>
    </row>
    <row r="281" spans="1:17">
      <c r="A281" t="s">
        <v>51</v>
      </c>
      <c r="B281" s="2">
        <v>45717</v>
      </c>
      <c r="C281" t="s">
        <v>27</v>
      </c>
      <c r="D281" t="s">
        <v>16</v>
      </c>
      <c r="E281">
        <v>42415.47</v>
      </c>
      <c r="F281">
        <v>8512</v>
      </c>
      <c r="G281">
        <v>0.13300000000000001</v>
      </c>
      <c r="H281">
        <v>18</v>
      </c>
      <c r="I281">
        <v>96.8</v>
      </c>
      <c r="J281">
        <v>14.95</v>
      </c>
      <c r="K281">
        <v>0</v>
      </c>
      <c r="L281">
        <v>4.5999999999999996</v>
      </c>
      <c r="M281">
        <v>684217.32</v>
      </c>
      <c r="N281">
        <v>136217.19</v>
      </c>
      <c r="O281">
        <f t="shared" si="12"/>
        <v>0</v>
      </c>
      <c r="P281">
        <f t="shared" si="14"/>
        <v>0</v>
      </c>
      <c r="Q281">
        <f t="shared" si="13"/>
        <v>0</v>
      </c>
    </row>
    <row r="282" spans="1:17">
      <c r="A282" t="s">
        <v>14</v>
      </c>
      <c r="B282" s="2">
        <v>45658</v>
      </c>
      <c r="C282" t="s">
        <v>15</v>
      </c>
      <c r="D282" t="s">
        <v>16</v>
      </c>
      <c r="E282">
        <v>70389.11</v>
      </c>
      <c r="F282">
        <v>8302</v>
      </c>
      <c r="G282">
        <v>4.2000000000000003E-2</v>
      </c>
      <c r="H282">
        <v>17</v>
      </c>
      <c r="I282">
        <v>75</v>
      </c>
      <c r="J282">
        <v>5.28</v>
      </c>
      <c r="K282">
        <v>1</v>
      </c>
      <c r="L282">
        <v>3.1</v>
      </c>
      <c r="M282">
        <v>658832.62</v>
      </c>
      <c r="N282">
        <v>84349.93</v>
      </c>
      <c r="O282">
        <f t="shared" si="12"/>
        <v>0</v>
      </c>
      <c r="P282">
        <f>IF(D282="Mall",1,0)</f>
        <v>0</v>
      </c>
      <c r="Q282">
        <f t="shared" si="13"/>
        <v>0</v>
      </c>
    </row>
    <row r="283" spans="1:17">
      <c r="A283" t="s">
        <v>55</v>
      </c>
      <c r="B283" s="2">
        <v>45658</v>
      </c>
      <c r="C283" t="s">
        <v>20</v>
      </c>
      <c r="D283" t="s">
        <v>18</v>
      </c>
      <c r="E283">
        <v>70276.28</v>
      </c>
      <c r="F283">
        <v>3043</v>
      </c>
      <c r="G283">
        <v>7.9000000000000001E-2</v>
      </c>
      <c r="H283">
        <v>9</v>
      </c>
      <c r="I283">
        <v>87.9</v>
      </c>
      <c r="J283">
        <v>3.77</v>
      </c>
      <c r="K283">
        <v>0</v>
      </c>
      <c r="L283">
        <v>4.4000000000000004</v>
      </c>
      <c r="M283">
        <v>527300.13</v>
      </c>
      <c r="N283">
        <v>84197.87</v>
      </c>
      <c r="O283">
        <f t="shared" si="12"/>
        <v>1</v>
      </c>
      <c r="Q283">
        <f t="shared" si="13"/>
        <v>0</v>
      </c>
    </row>
    <row r="284" spans="1:17">
      <c r="A284" t="s">
        <v>19</v>
      </c>
      <c r="B284" s="2">
        <v>45717</v>
      </c>
      <c r="C284" t="s">
        <v>20</v>
      </c>
      <c r="D284" t="s">
        <v>21</v>
      </c>
      <c r="E284">
        <v>34285.21</v>
      </c>
      <c r="F284">
        <v>9172</v>
      </c>
      <c r="G284">
        <v>0.21299999999999999</v>
      </c>
      <c r="H284">
        <v>22</v>
      </c>
      <c r="I284">
        <v>88.3</v>
      </c>
      <c r="J284">
        <v>10.46</v>
      </c>
      <c r="K284">
        <v>1</v>
      </c>
      <c r="L284">
        <v>3.8</v>
      </c>
      <c r="M284">
        <v>723060.76</v>
      </c>
      <c r="N284">
        <v>123131.24</v>
      </c>
      <c r="O284">
        <f t="shared" si="12"/>
        <v>0</v>
      </c>
      <c r="Q284">
        <f t="shared" si="13"/>
        <v>1</v>
      </c>
    </row>
    <row r="285" spans="1:17">
      <c r="A285" t="s">
        <v>69</v>
      </c>
      <c r="B285" s="2">
        <v>45748</v>
      </c>
      <c r="C285" t="s">
        <v>15</v>
      </c>
      <c r="D285" t="s">
        <v>18</v>
      </c>
      <c r="E285">
        <v>54966.18</v>
      </c>
      <c r="F285">
        <v>4423</v>
      </c>
      <c r="G285">
        <v>0.186</v>
      </c>
      <c r="H285">
        <v>13</v>
      </c>
      <c r="I285">
        <v>88.7</v>
      </c>
      <c r="J285">
        <v>0.2</v>
      </c>
      <c r="K285">
        <v>0</v>
      </c>
      <c r="L285">
        <v>4.4000000000000004</v>
      </c>
      <c r="M285">
        <v>554012.06999999995</v>
      </c>
      <c r="N285">
        <v>81101.62</v>
      </c>
      <c r="O285">
        <f t="shared" si="12"/>
        <v>1</v>
      </c>
      <c r="Q285">
        <f t="shared" si="13"/>
        <v>0</v>
      </c>
    </row>
    <row r="286" spans="1:17">
      <c r="A286" t="s">
        <v>35</v>
      </c>
      <c r="B286" s="2">
        <v>45748</v>
      </c>
      <c r="C286" t="s">
        <v>27</v>
      </c>
      <c r="D286" t="s">
        <v>18</v>
      </c>
      <c r="E286">
        <v>27808.6</v>
      </c>
      <c r="F286">
        <v>2863</v>
      </c>
      <c r="G286">
        <v>0.08</v>
      </c>
      <c r="H286">
        <v>13</v>
      </c>
      <c r="I286">
        <v>89.3</v>
      </c>
      <c r="J286">
        <v>0.47</v>
      </c>
      <c r="K286">
        <v>0</v>
      </c>
      <c r="L286">
        <v>4.0999999999999996</v>
      </c>
      <c r="M286">
        <v>487464.91</v>
      </c>
      <c r="N286">
        <v>64562.26</v>
      </c>
      <c r="O286">
        <f t="shared" si="12"/>
        <v>1</v>
      </c>
      <c r="Q286">
        <f t="shared" si="13"/>
        <v>0</v>
      </c>
    </row>
    <row r="287" spans="1:17">
      <c r="A287" t="s">
        <v>89</v>
      </c>
      <c r="B287" s="2">
        <v>45748</v>
      </c>
      <c r="C287" t="s">
        <v>15</v>
      </c>
      <c r="D287" t="s">
        <v>28</v>
      </c>
      <c r="E287">
        <v>29344.93</v>
      </c>
      <c r="F287">
        <v>7446</v>
      </c>
      <c r="G287">
        <v>0.111</v>
      </c>
      <c r="H287">
        <v>15</v>
      </c>
      <c r="I287">
        <v>86.2</v>
      </c>
      <c r="J287">
        <v>0.2</v>
      </c>
      <c r="K287">
        <v>0</v>
      </c>
      <c r="L287">
        <v>3.2</v>
      </c>
      <c r="M287">
        <v>593343</v>
      </c>
      <c r="N287">
        <v>82832.240000000005</v>
      </c>
      <c r="O287">
        <f t="shared" si="12"/>
        <v>0</v>
      </c>
      <c r="Q287">
        <f t="shared" si="13"/>
        <v>0</v>
      </c>
    </row>
    <row r="288" spans="1:17">
      <c r="A288" t="s">
        <v>85</v>
      </c>
      <c r="B288" s="2">
        <v>45748</v>
      </c>
      <c r="C288" t="s">
        <v>24</v>
      </c>
      <c r="D288" t="s">
        <v>21</v>
      </c>
      <c r="E288">
        <v>36290.080000000002</v>
      </c>
      <c r="F288">
        <v>5787</v>
      </c>
      <c r="G288">
        <v>0</v>
      </c>
      <c r="H288">
        <v>17</v>
      </c>
      <c r="I288">
        <v>88.3</v>
      </c>
      <c r="J288">
        <v>4.1900000000000004</v>
      </c>
      <c r="K288">
        <v>0</v>
      </c>
      <c r="L288">
        <v>4.0999999999999996</v>
      </c>
      <c r="M288">
        <v>612390.14</v>
      </c>
      <c r="N288">
        <v>108985.74</v>
      </c>
      <c r="O288">
        <f t="shared" si="12"/>
        <v>0</v>
      </c>
      <c r="Q288">
        <f t="shared" si="13"/>
        <v>1</v>
      </c>
    </row>
    <row r="289" spans="1:17">
      <c r="A289" t="s">
        <v>79</v>
      </c>
      <c r="B289" s="2">
        <v>45658</v>
      </c>
      <c r="C289" t="s">
        <v>15</v>
      </c>
      <c r="D289" t="s">
        <v>18</v>
      </c>
      <c r="E289">
        <v>37324.230000000003</v>
      </c>
      <c r="F289">
        <v>5957</v>
      </c>
      <c r="G289">
        <v>7.0999999999999994E-2</v>
      </c>
      <c r="H289">
        <v>12</v>
      </c>
      <c r="I289">
        <v>85.9</v>
      </c>
      <c r="J289">
        <v>0.37</v>
      </c>
      <c r="K289">
        <v>0</v>
      </c>
      <c r="L289">
        <v>3.8</v>
      </c>
      <c r="M289">
        <v>570963.31000000006</v>
      </c>
      <c r="N289">
        <v>87342.25</v>
      </c>
      <c r="O289">
        <f t="shared" si="12"/>
        <v>1</v>
      </c>
      <c r="Q289">
        <f t="shared" si="13"/>
        <v>0</v>
      </c>
    </row>
    <row r="290" spans="1:17">
      <c r="A290" t="s">
        <v>64</v>
      </c>
      <c r="B290" s="2">
        <v>45689</v>
      </c>
      <c r="C290" t="s">
        <v>15</v>
      </c>
      <c r="D290" t="s">
        <v>16</v>
      </c>
      <c r="E290">
        <v>32834.480000000003</v>
      </c>
      <c r="F290">
        <v>7576</v>
      </c>
      <c r="G290">
        <v>9.9000000000000005E-2</v>
      </c>
      <c r="H290">
        <v>15</v>
      </c>
      <c r="I290">
        <v>84.1</v>
      </c>
      <c r="J290">
        <v>3.48</v>
      </c>
      <c r="K290">
        <v>0</v>
      </c>
      <c r="L290">
        <v>5</v>
      </c>
      <c r="M290">
        <v>593637.14</v>
      </c>
      <c r="N290">
        <v>106648.14</v>
      </c>
      <c r="O290">
        <f t="shared" si="12"/>
        <v>0</v>
      </c>
      <c r="Q290">
        <f t="shared" si="13"/>
        <v>0</v>
      </c>
    </row>
    <row r="291" spans="1:17">
      <c r="A291" t="s">
        <v>92</v>
      </c>
      <c r="B291" s="2">
        <v>45658</v>
      </c>
      <c r="C291" t="s">
        <v>24</v>
      </c>
      <c r="D291" t="s">
        <v>18</v>
      </c>
      <c r="E291">
        <v>45940.39</v>
      </c>
      <c r="F291">
        <v>4022</v>
      </c>
      <c r="G291">
        <v>6.9000000000000006E-2</v>
      </c>
      <c r="H291">
        <v>10</v>
      </c>
      <c r="I291">
        <v>83</v>
      </c>
      <c r="J291">
        <v>1.23</v>
      </c>
      <c r="K291">
        <v>1</v>
      </c>
      <c r="L291">
        <v>3.8</v>
      </c>
      <c r="M291">
        <v>524899.56999999995</v>
      </c>
      <c r="N291">
        <v>63619.98</v>
      </c>
      <c r="O291">
        <f t="shared" si="12"/>
        <v>1</v>
      </c>
      <c r="Q291">
        <f t="shared" si="13"/>
        <v>0</v>
      </c>
    </row>
    <row r="292" spans="1:17">
      <c r="A292" t="s">
        <v>89</v>
      </c>
      <c r="B292" s="2">
        <v>45658</v>
      </c>
      <c r="C292" t="s">
        <v>15</v>
      </c>
      <c r="D292" t="s">
        <v>28</v>
      </c>
      <c r="E292">
        <v>48752.92</v>
      </c>
      <c r="F292">
        <v>8052</v>
      </c>
      <c r="G292">
        <v>0.106</v>
      </c>
      <c r="H292">
        <v>16</v>
      </c>
      <c r="I292">
        <v>94.9</v>
      </c>
      <c r="J292">
        <v>0.65</v>
      </c>
      <c r="K292">
        <v>0</v>
      </c>
      <c r="L292">
        <v>3.6</v>
      </c>
      <c r="M292">
        <v>660633.99</v>
      </c>
      <c r="N292">
        <v>118768.66</v>
      </c>
      <c r="O292">
        <f t="shared" si="12"/>
        <v>0</v>
      </c>
      <c r="Q292">
        <f t="shared" si="13"/>
        <v>0</v>
      </c>
    </row>
    <row r="293" spans="1:17">
      <c r="A293" t="s">
        <v>55</v>
      </c>
      <c r="B293" s="2">
        <v>45689</v>
      </c>
      <c r="C293" t="s">
        <v>20</v>
      </c>
      <c r="D293" t="s">
        <v>18</v>
      </c>
      <c r="E293">
        <v>22071.64</v>
      </c>
      <c r="F293">
        <v>1814</v>
      </c>
      <c r="G293">
        <v>0.19600000000000001</v>
      </c>
      <c r="H293">
        <v>8</v>
      </c>
      <c r="I293">
        <v>81.099999999999994</v>
      </c>
      <c r="J293">
        <v>0.78</v>
      </c>
      <c r="K293">
        <v>0</v>
      </c>
      <c r="M293">
        <v>400831.65</v>
      </c>
      <c r="N293">
        <v>70979.31</v>
      </c>
      <c r="O293">
        <f t="shared" si="12"/>
        <v>1</v>
      </c>
      <c r="Q293">
        <f t="shared" si="13"/>
        <v>0</v>
      </c>
    </row>
    <row r="294" spans="1:17">
      <c r="A294" t="s">
        <v>52</v>
      </c>
      <c r="B294" s="2">
        <v>45658</v>
      </c>
      <c r="C294" t="s">
        <v>20</v>
      </c>
      <c r="D294" t="s">
        <v>18</v>
      </c>
      <c r="E294">
        <v>43896.13</v>
      </c>
      <c r="F294">
        <v>3853</v>
      </c>
      <c r="G294">
        <v>8.7999999999999995E-2</v>
      </c>
      <c r="H294">
        <v>13</v>
      </c>
      <c r="I294">
        <v>83</v>
      </c>
      <c r="J294">
        <v>6.8</v>
      </c>
      <c r="K294">
        <v>0</v>
      </c>
      <c r="L294">
        <v>4.4000000000000004</v>
      </c>
      <c r="M294">
        <v>509484.81</v>
      </c>
      <c r="N294">
        <v>85742.36</v>
      </c>
      <c r="O294">
        <f t="shared" si="12"/>
        <v>1</v>
      </c>
      <c r="Q294">
        <f t="shared" si="13"/>
        <v>0</v>
      </c>
    </row>
    <row r="295" spans="1:17">
      <c r="A295" t="s">
        <v>70</v>
      </c>
      <c r="B295" s="2">
        <v>45748</v>
      </c>
      <c r="C295" t="s">
        <v>27</v>
      </c>
      <c r="D295" t="s">
        <v>16</v>
      </c>
      <c r="E295">
        <v>41657.64</v>
      </c>
      <c r="F295">
        <v>3135</v>
      </c>
      <c r="G295">
        <v>0.22900000000000001</v>
      </c>
      <c r="H295">
        <v>7</v>
      </c>
      <c r="I295">
        <v>85.4</v>
      </c>
      <c r="J295">
        <v>13.48</v>
      </c>
      <c r="K295">
        <v>0</v>
      </c>
      <c r="M295">
        <v>449465.06</v>
      </c>
      <c r="N295">
        <v>65694.78</v>
      </c>
      <c r="O295">
        <f t="shared" si="12"/>
        <v>0</v>
      </c>
      <c r="Q295">
        <f t="shared" si="13"/>
        <v>0</v>
      </c>
    </row>
    <row r="296" spans="1:17">
      <c r="A296" t="s">
        <v>73</v>
      </c>
      <c r="B296" s="2">
        <v>45748</v>
      </c>
      <c r="C296" t="s">
        <v>15</v>
      </c>
      <c r="D296" t="s">
        <v>28</v>
      </c>
      <c r="E296">
        <v>56413.83</v>
      </c>
      <c r="F296">
        <v>8303</v>
      </c>
      <c r="G296">
        <v>0.11600000000000001</v>
      </c>
      <c r="H296">
        <v>18</v>
      </c>
      <c r="I296">
        <v>93.6</v>
      </c>
      <c r="J296">
        <v>2.7</v>
      </c>
      <c r="K296">
        <v>0</v>
      </c>
      <c r="L296">
        <v>3.7</v>
      </c>
      <c r="M296">
        <v>675917.63</v>
      </c>
      <c r="N296">
        <v>112564.75</v>
      </c>
      <c r="O296">
        <f t="shared" si="12"/>
        <v>0</v>
      </c>
      <c r="Q296">
        <f t="shared" si="13"/>
        <v>0</v>
      </c>
    </row>
    <row r="297" spans="1:17">
      <c r="A297" t="s">
        <v>101</v>
      </c>
      <c r="B297" s="2">
        <v>45658</v>
      </c>
      <c r="C297" t="s">
        <v>15</v>
      </c>
      <c r="D297" t="s">
        <v>16</v>
      </c>
      <c r="E297">
        <v>76614.320000000007</v>
      </c>
      <c r="F297">
        <v>5639</v>
      </c>
      <c r="G297">
        <v>0.17399999999999999</v>
      </c>
      <c r="H297">
        <v>15</v>
      </c>
      <c r="I297">
        <v>92.9</v>
      </c>
      <c r="J297">
        <v>1.02</v>
      </c>
      <c r="K297">
        <v>1</v>
      </c>
      <c r="L297">
        <v>4</v>
      </c>
      <c r="M297">
        <v>620264.19999999995</v>
      </c>
      <c r="N297">
        <v>91365.64</v>
      </c>
      <c r="O297">
        <f t="shared" si="12"/>
        <v>0</v>
      </c>
      <c r="Q297">
        <f t="shared" si="13"/>
        <v>0</v>
      </c>
    </row>
    <row r="298" spans="1:17">
      <c r="A298" t="s">
        <v>29</v>
      </c>
      <c r="B298" s="2">
        <v>45748</v>
      </c>
      <c r="C298" t="s">
        <v>15</v>
      </c>
      <c r="D298" t="s">
        <v>16</v>
      </c>
      <c r="E298">
        <v>69816.350000000006</v>
      </c>
      <c r="F298">
        <v>971</v>
      </c>
      <c r="G298">
        <v>0.16800000000000001</v>
      </c>
      <c r="H298">
        <v>5</v>
      </c>
      <c r="I298">
        <v>89.9</v>
      </c>
      <c r="J298">
        <v>12.15</v>
      </c>
      <c r="K298">
        <v>0</v>
      </c>
      <c r="L298">
        <v>3.6</v>
      </c>
      <c r="M298">
        <v>427917.38</v>
      </c>
      <c r="N298">
        <v>81824.31</v>
      </c>
      <c r="O298">
        <f t="shared" si="12"/>
        <v>0</v>
      </c>
      <c r="Q298">
        <f t="shared" si="13"/>
        <v>0</v>
      </c>
    </row>
    <row r="299" spans="1:17">
      <c r="A299" t="s">
        <v>36</v>
      </c>
      <c r="B299" s="2">
        <v>45717</v>
      </c>
      <c r="C299" t="s">
        <v>15</v>
      </c>
      <c r="D299" t="s">
        <v>21</v>
      </c>
      <c r="E299">
        <v>118910.48</v>
      </c>
      <c r="F299">
        <v>4022</v>
      </c>
      <c r="G299">
        <v>0.13700000000000001</v>
      </c>
      <c r="H299">
        <v>11</v>
      </c>
      <c r="I299">
        <v>87.1</v>
      </c>
      <c r="J299">
        <v>0.2</v>
      </c>
      <c r="K299">
        <v>0</v>
      </c>
      <c r="L299">
        <v>3.1</v>
      </c>
      <c r="M299">
        <v>617291.15</v>
      </c>
      <c r="N299">
        <v>117782</v>
      </c>
      <c r="O299">
        <f t="shared" si="12"/>
        <v>0</v>
      </c>
      <c r="Q299">
        <f t="shared" si="13"/>
        <v>1</v>
      </c>
    </row>
    <row r="300" spans="1:17">
      <c r="A300" t="s">
        <v>17</v>
      </c>
      <c r="B300" s="2">
        <v>45658</v>
      </c>
      <c r="C300" t="s">
        <v>15</v>
      </c>
      <c r="D300" t="s">
        <v>18</v>
      </c>
      <c r="E300">
        <v>48412.639999999999</v>
      </c>
      <c r="F300">
        <v>9545</v>
      </c>
      <c r="G300">
        <v>0.23100000000000001</v>
      </c>
      <c r="H300">
        <v>21</v>
      </c>
      <c r="I300">
        <v>97.6</v>
      </c>
      <c r="J300">
        <v>6.94</v>
      </c>
      <c r="K300">
        <v>1</v>
      </c>
      <c r="L300">
        <v>4.2</v>
      </c>
      <c r="M300">
        <v>741341.44</v>
      </c>
      <c r="N300">
        <v>119208.17</v>
      </c>
      <c r="O300">
        <f t="shared" si="12"/>
        <v>1</v>
      </c>
      <c r="Q300">
        <f t="shared" si="13"/>
        <v>0</v>
      </c>
    </row>
    <row r="301" spans="1:17">
      <c r="A301" t="s">
        <v>91</v>
      </c>
      <c r="B301" s="2">
        <v>45658</v>
      </c>
      <c r="C301" t="s">
        <v>24</v>
      </c>
      <c r="D301" t="s">
        <v>16</v>
      </c>
      <c r="E301">
        <v>61784.11</v>
      </c>
      <c r="F301">
        <v>8564</v>
      </c>
      <c r="G301">
        <v>0.13</v>
      </c>
      <c r="H301">
        <v>17</v>
      </c>
      <c r="I301">
        <v>87.4</v>
      </c>
      <c r="J301">
        <v>18.14</v>
      </c>
      <c r="K301">
        <v>1</v>
      </c>
      <c r="L301">
        <v>3.4</v>
      </c>
      <c r="M301">
        <v>673076.34</v>
      </c>
      <c r="N301">
        <v>93899.76</v>
      </c>
      <c r="O301">
        <f t="shared" si="12"/>
        <v>0</v>
      </c>
      <c r="Q301">
        <f t="shared" si="13"/>
        <v>0</v>
      </c>
    </row>
    <row r="302" spans="1:17">
      <c r="A302" t="s">
        <v>29</v>
      </c>
      <c r="B302" s="2">
        <v>45658</v>
      </c>
      <c r="C302" t="s">
        <v>15</v>
      </c>
      <c r="D302" t="s">
        <v>16</v>
      </c>
      <c r="E302">
        <v>68600.62</v>
      </c>
      <c r="F302">
        <v>3988</v>
      </c>
      <c r="G302">
        <v>0.124</v>
      </c>
      <c r="H302">
        <v>11</v>
      </c>
      <c r="I302">
        <v>85</v>
      </c>
      <c r="J302">
        <v>0.48</v>
      </c>
      <c r="K302">
        <v>0</v>
      </c>
      <c r="L302">
        <v>3.6</v>
      </c>
      <c r="M302">
        <v>511844.41</v>
      </c>
      <c r="N302">
        <v>72774.44</v>
      </c>
      <c r="O302">
        <f t="shared" si="12"/>
        <v>0</v>
      </c>
      <c r="Q302">
        <f t="shared" si="13"/>
        <v>0</v>
      </c>
    </row>
    <row r="303" spans="1:17">
      <c r="A303" t="s">
        <v>56</v>
      </c>
      <c r="B303" s="2">
        <v>45658</v>
      </c>
      <c r="C303" t="s">
        <v>24</v>
      </c>
      <c r="D303" t="s">
        <v>16</v>
      </c>
      <c r="E303">
        <v>71320.66</v>
      </c>
      <c r="F303">
        <v>7888</v>
      </c>
      <c r="G303">
        <v>4.8000000000000001E-2</v>
      </c>
      <c r="H303">
        <v>20</v>
      </c>
      <c r="I303">
        <v>78.099999999999994</v>
      </c>
      <c r="J303">
        <v>3.4</v>
      </c>
      <c r="K303">
        <v>0</v>
      </c>
      <c r="M303">
        <v>633638.03</v>
      </c>
      <c r="N303">
        <v>99402.01</v>
      </c>
      <c r="O303">
        <f t="shared" si="12"/>
        <v>0</v>
      </c>
      <c r="Q303">
        <f t="shared" si="13"/>
        <v>0</v>
      </c>
    </row>
    <row r="304" spans="1:17">
      <c r="A304" t="s">
        <v>40</v>
      </c>
      <c r="B304" s="2">
        <v>45689</v>
      </c>
      <c r="C304" t="s">
        <v>15</v>
      </c>
      <c r="D304" t="s">
        <v>16</v>
      </c>
      <c r="E304">
        <v>53762.92</v>
      </c>
      <c r="F304">
        <v>6821</v>
      </c>
      <c r="G304">
        <v>6.6000000000000003E-2</v>
      </c>
      <c r="H304">
        <v>19</v>
      </c>
      <c r="I304">
        <v>94.6</v>
      </c>
      <c r="J304">
        <v>7.03</v>
      </c>
      <c r="K304">
        <v>0</v>
      </c>
      <c r="L304">
        <v>4.4000000000000004</v>
      </c>
      <c r="M304">
        <v>630829.93999999994</v>
      </c>
      <c r="N304">
        <v>117090.02</v>
      </c>
      <c r="O304">
        <f t="shared" si="12"/>
        <v>0</v>
      </c>
      <c r="Q304">
        <f t="shared" si="13"/>
        <v>0</v>
      </c>
    </row>
    <row r="305" spans="1:17">
      <c r="A305" t="s">
        <v>14</v>
      </c>
      <c r="B305" s="2">
        <v>45717</v>
      </c>
      <c r="C305" t="s">
        <v>15</v>
      </c>
      <c r="D305" t="s">
        <v>16</v>
      </c>
      <c r="E305">
        <v>59921.75</v>
      </c>
      <c r="F305">
        <v>9113</v>
      </c>
      <c r="G305">
        <v>0.13300000000000001</v>
      </c>
      <c r="H305">
        <v>20</v>
      </c>
      <c r="I305">
        <v>88</v>
      </c>
      <c r="J305">
        <v>12</v>
      </c>
      <c r="K305">
        <v>0</v>
      </c>
      <c r="L305">
        <v>3.2</v>
      </c>
      <c r="M305">
        <v>678722.06</v>
      </c>
      <c r="N305">
        <v>101883.86</v>
      </c>
      <c r="O305">
        <f t="shared" si="12"/>
        <v>0</v>
      </c>
      <c r="Q305">
        <f t="shared" si="13"/>
        <v>0</v>
      </c>
    </row>
    <row r="306" spans="1:17">
      <c r="A306" t="s">
        <v>72</v>
      </c>
      <c r="B306" s="2">
        <v>45717</v>
      </c>
      <c r="C306" t="s">
        <v>15</v>
      </c>
      <c r="D306" t="s">
        <v>21</v>
      </c>
      <c r="E306">
        <v>35203.230000000003</v>
      </c>
      <c r="F306">
        <v>6896</v>
      </c>
      <c r="G306">
        <v>3.2000000000000001E-2</v>
      </c>
      <c r="H306">
        <v>14</v>
      </c>
      <c r="I306">
        <v>80.8</v>
      </c>
      <c r="J306">
        <v>8.44</v>
      </c>
      <c r="K306">
        <v>1</v>
      </c>
      <c r="L306">
        <v>5</v>
      </c>
      <c r="M306">
        <v>607084.92000000004</v>
      </c>
      <c r="N306">
        <v>98558.49</v>
      </c>
      <c r="O306">
        <f t="shared" si="12"/>
        <v>0</v>
      </c>
      <c r="Q306">
        <f t="shared" si="13"/>
        <v>1</v>
      </c>
    </row>
    <row r="307" spans="1:17">
      <c r="A307" t="s">
        <v>26</v>
      </c>
      <c r="B307" s="2">
        <v>45689</v>
      </c>
      <c r="C307" t="s">
        <v>27</v>
      </c>
      <c r="D307" t="s">
        <v>28</v>
      </c>
      <c r="E307">
        <v>172415.52</v>
      </c>
      <c r="F307">
        <v>8927</v>
      </c>
      <c r="G307">
        <v>0.14000000000000001</v>
      </c>
      <c r="H307">
        <v>22</v>
      </c>
      <c r="I307">
        <v>86.2</v>
      </c>
      <c r="J307">
        <v>7.04</v>
      </c>
      <c r="K307">
        <v>0</v>
      </c>
      <c r="L307">
        <v>3.9</v>
      </c>
      <c r="M307">
        <v>800451.94</v>
      </c>
      <c r="N307">
        <v>111572.29</v>
      </c>
      <c r="O307">
        <f t="shared" si="12"/>
        <v>0</v>
      </c>
      <c r="Q307">
        <f t="shared" si="13"/>
        <v>0</v>
      </c>
    </row>
    <row r="308" spans="1:17">
      <c r="A308" t="s">
        <v>52</v>
      </c>
      <c r="B308" s="2">
        <v>45748</v>
      </c>
      <c r="C308" t="s">
        <v>20</v>
      </c>
      <c r="D308" t="s">
        <v>18</v>
      </c>
      <c r="E308">
        <v>19063.48</v>
      </c>
      <c r="F308">
        <v>1906</v>
      </c>
      <c r="G308">
        <v>0.216</v>
      </c>
      <c r="H308">
        <v>10</v>
      </c>
      <c r="I308">
        <v>97.8</v>
      </c>
      <c r="J308">
        <v>15.79</v>
      </c>
      <c r="K308">
        <v>0</v>
      </c>
      <c r="L308">
        <v>4.4000000000000004</v>
      </c>
      <c r="M308">
        <v>441275.42</v>
      </c>
      <c r="N308">
        <v>58234.87</v>
      </c>
      <c r="O308">
        <f t="shared" si="12"/>
        <v>1</v>
      </c>
      <c r="Q308">
        <f t="shared" si="13"/>
        <v>0</v>
      </c>
    </row>
    <row r="309" spans="1:17">
      <c r="A309" t="s">
        <v>74</v>
      </c>
      <c r="B309" s="2">
        <v>45689</v>
      </c>
      <c r="C309" t="s">
        <v>15</v>
      </c>
      <c r="D309" t="s">
        <v>18</v>
      </c>
      <c r="E309">
        <v>62949.7</v>
      </c>
      <c r="F309">
        <v>9458</v>
      </c>
      <c r="G309">
        <v>0.17100000000000001</v>
      </c>
      <c r="H309">
        <v>19</v>
      </c>
      <c r="I309">
        <v>84.9</v>
      </c>
      <c r="J309">
        <v>5.09</v>
      </c>
      <c r="K309">
        <v>0</v>
      </c>
      <c r="L309">
        <v>3.3</v>
      </c>
      <c r="M309">
        <v>691288.19</v>
      </c>
      <c r="N309">
        <v>159074.14000000001</v>
      </c>
      <c r="O309">
        <f t="shared" si="12"/>
        <v>1</v>
      </c>
      <c r="Q309">
        <f t="shared" si="13"/>
        <v>0</v>
      </c>
    </row>
    <row r="310" spans="1:17">
      <c r="A310" t="s">
        <v>14</v>
      </c>
      <c r="B310" s="2">
        <v>45689</v>
      </c>
      <c r="C310" t="s">
        <v>15</v>
      </c>
      <c r="D310" t="s">
        <v>16</v>
      </c>
      <c r="E310">
        <v>43827.89</v>
      </c>
      <c r="F310">
        <v>8487</v>
      </c>
      <c r="G310">
        <v>0.16800000000000001</v>
      </c>
      <c r="H310">
        <v>23</v>
      </c>
      <c r="I310">
        <v>84.4</v>
      </c>
      <c r="J310">
        <v>4.3099999999999996</v>
      </c>
      <c r="K310">
        <v>0</v>
      </c>
      <c r="L310">
        <v>2.8</v>
      </c>
      <c r="M310">
        <v>634436</v>
      </c>
      <c r="N310">
        <v>106130.54</v>
      </c>
      <c r="O310">
        <f t="shared" si="12"/>
        <v>0</v>
      </c>
      <c r="Q310">
        <f t="shared" si="13"/>
        <v>0</v>
      </c>
    </row>
    <row r="311" spans="1:17">
      <c r="A311" t="s">
        <v>54</v>
      </c>
      <c r="B311" s="2">
        <v>45717</v>
      </c>
      <c r="C311" t="s">
        <v>15</v>
      </c>
      <c r="D311" t="s">
        <v>18</v>
      </c>
      <c r="E311">
        <v>50735.63</v>
      </c>
      <c r="F311">
        <v>9619</v>
      </c>
      <c r="G311">
        <v>0.14399999999999999</v>
      </c>
      <c r="H311">
        <v>19</v>
      </c>
      <c r="I311">
        <v>93.8</v>
      </c>
      <c r="J311">
        <v>5.12</v>
      </c>
      <c r="K311">
        <v>1</v>
      </c>
      <c r="L311">
        <v>4.5</v>
      </c>
      <c r="M311">
        <v>725235.28</v>
      </c>
      <c r="N311">
        <v>121632.24</v>
      </c>
      <c r="O311">
        <f t="shared" si="12"/>
        <v>1</v>
      </c>
      <c r="Q311">
        <f t="shared" si="13"/>
        <v>0</v>
      </c>
    </row>
    <row r="312" spans="1:17">
      <c r="A312" t="s">
        <v>96</v>
      </c>
      <c r="B312" s="2">
        <v>45748</v>
      </c>
      <c r="C312" t="s">
        <v>27</v>
      </c>
      <c r="D312" t="s">
        <v>18</v>
      </c>
      <c r="E312">
        <v>24362.98</v>
      </c>
      <c r="F312">
        <v>1462</v>
      </c>
      <c r="G312">
        <v>0.11700000000000001</v>
      </c>
      <c r="H312">
        <v>6</v>
      </c>
      <c r="I312">
        <v>89.3</v>
      </c>
      <c r="J312">
        <v>15.06</v>
      </c>
      <c r="K312">
        <v>0</v>
      </c>
      <c r="L312">
        <v>3.2</v>
      </c>
      <c r="M312">
        <v>401582.58</v>
      </c>
      <c r="N312">
        <v>68454.929999999993</v>
      </c>
      <c r="O312">
        <f t="shared" si="12"/>
        <v>1</v>
      </c>
      <c r="Q312">
        <f t="shared" si="13"/>
        <v>0</v>
      </c>
    </row>
    <row r="313" spans="1:17">
      <c r="A313" t="s">
        <v>25</v>
      </c>
      <c r="B313" s="2">
        <v>45658</v>
      </c>
      <c r="C313" t="s">
        <v>20</v>
      </c>
      <c r="D313" t="s">
        <v>16</v>
      </c>
      <c r="E313">
        <v>30356.28</v>
      </c>
      <c r="F313">
        <v>2822</v>
      </c>
      <c r="G313">
        <v>0.23100000000000001</v>
      </c>
      <c r="H313">
        <v>9</v>
      </c>
      <c r="I313">
        <v>84.8</v>
      </c>
      <c r="J313">
        <v>6.95</v>
      </c>
      <c r="K313">
        <v>0</v>
      </c>
      <c r="L313">
        <v>5</v>
      </c>
      <c r="M313">
        <v>415721.82</v>
      </c>
      <c r="N313">
        <v>61179.15</v>
      </c>
      <c r="O313">
        <f t="shared" si="12"/>
        <v>0</v>
      </c>
      <c r="Q313">
        <f t="shared" si="13"/>
        <v>0</v>
      </c>
    </row>
    <row r="314" spans="1:17">
      <c r="A314" t="s">
        <v>36</v>
      </c>
      <c r="B314" s="2">
        <v>45748</v>
      </c>
      <c r="C314" t="s">
        <v>15</v>
      </c>
      <c r="D314" t="s">
        <v>21</v>
      </c>
      <c r="E314">
        <v>52952.12</v>
      </c>
      <c r="F314">
        <v>4377</v>
      </c>
      <c r="G314">
        <v>9.1999999999999998E-2</v>
      </c>
      <c r="H314">
        <v>14</v>
      </c>
      <c r="I314">
        <v>88.6</v>
      </c>
      <c r="J314">
        <v>13.59</v>
      </c>
      <c r="K314">
        <v>0</v>
      </c>
      <c r="L314">
        <v>3.1</v>
      </c>
      <c r="M314">
        <v>553756.43000000005</v>
      </c>
      <c r="N314">
        <v>86166.77</v>
      </c>
      <c r="O314">
        <f t="shared" si="12"/>
        <v>0</v>
      </c>
      <c r="Q314">
        <f t="shared" si="13"/>
        <v>1</v>
      </c>
    </row>
    <row r="315" spans="1:17">
      <c r="A315" t="s">
        <v>35</v>
      </c>
      <c r="B315" s="2">
        <v>45658</v>
      </c>
      <c r="C315" t="s">
        <v>27</v>
      </c>
      <c r="D315" t="s">
        <v>18</v>
      </c>
      <c r="E315">
        <v>53015.46</v>
      </c>
      <c r="F315">
        <v>3279</v>
      </c>
      <c r="G315">
        <v>8.6999999999999994E-2</v>
      </c>
      <c r="H315">
        <v>9</v>
      </c>
      <c r="I315">
        <v>84.3</v>
      </c>
      <c r="J315">
        <v>22.02</v>
      </c>
      <c r="K315">
        <v>0</v>
      </c>
      <c r="L315">
        <v>3.9</v>
      </c>
      <c r="M315">
        <v>463534.25</v>
      </c>
      <c r="N315">
        <v>81834.539999999994</v>
      </c>
      <c r="O315">
        <f t="shared" si="12"/>
        <v>1</v>
      </c>
      <c r="Q315">
        <f t="shared" si="13"/>
        <v>0</v>
      </c>
    </row>
    <row r="316" spans="1:17">
      <c r="A316" t="s">
        <v>44</v>
      </c>
      <c r="B316" s="2">
        <v>45689</v>
      </c>
      <c r="C316" t="s">
        <v>24</v>
      </c>
      <c r="D316" t="s">
        <v>28</v>
      </c>
      <c r="E316">
        <v>141540.29</v>
      </c>
      <c r="F316">
        <v>5400</v>
      </c>
      <c r="G316">
        <v>1.2999999999999999E-2</v>
      </c>
      <c r="H316">
        <v>12</v>
      </c>
      <c r="I316">
        <v>87</v>
      </c>
      <c r="J316">
        <v>4.26</v>
      </c>
      <c r="K316">
        <v>0</v>
      </c>
      <c r="L316">
        <v>4.5</v>
      </c>
      <c r="M316">
        <v>627171.9</v>
      </c>
      <c r="N316">
        <v>105772.75</v>
      </c>
      <c r="O316">
        <f t="shared" si="12"/>
        <v>0</v>
      </c>
      <c r="Q316">
        <f t="shared" si="13"/>
        <v>0</v>
      </c>
    </row>
    <row r="317" spans="1:17">
      <c r="A317" t="s">
        <v>98</v>
      </c>
      <c r="B317" s="2">
        <v>45689</v>
      </c>
      <c r="C317" t="s">
        <v>24</v>
      </c>
      <c r="D317" t="s">
        <v>16</v>
      </c>
      <c r="E317">
        <v>46146.239999999998</v>
      </c>
      <c r="F317">
        <v>5804</v>
      </c>
      <c r="G317">
        <v>4.7E-2</v>
      </c>
      <c r="H317">
        <v>16</v>
      </c>
      <c r="I317">
        <v>86.9</v>
      </c>
      <c r="J317">
        <v>15.82</v>
      </c>
      <c r="K317">
        <v>0</v>
      </c>
      <c r="L317">
        <v>3.8</v>
      </c>
      <c r="M317">
        <v>538376</v>
      </c>
      <c r="N317">
        <v>87605.62</v>
      </c>
      <c r="O317">
        <f t="shared" si="12"/>
        <v>0</v>
      </c>
      <c r="Q317">
        <f t="shared" si="13"/>
        <v>0</v>
      </c>
    </row>
    <row r="318" spans="1:17">
      <c r="A318" t="s">
        <v>30</v>
      </c>
      <c r="B318" s="2">
        <v>45658</v>
      </c>
      <c r="C318" t="s">
        <v>20</v>
      </c>
      <c r="D318" t="s">
        <v>16</v>
      </c>
      <c r="E318">
        <v>54597.83</v>
      </c>
      <c r="F318">
        <v>9429</v>
      </c>
      <c r="G318">
        <v>0.188</v>
      </c>
      <c r="H318">
        <v>21</v>
      </c>
      <c r="I318">
        <v>83.3</v>
      </c>
      <c r="J318">
        <v>11.71</v>
      </c>
      <c r="K318">
        <v>0</v>
      </c>
      <c r="L318">
        <v>4.2</v>
      </c>
      <c r="M318">
        <v>641865.03</v>
      </c>
      <c r="N318">
        <v>81342.58</v>
      </c>
      <c r="O318">
        <f t="shared" si="12"/>
        <v>0</v>
      </c>
      <c r="Q318">
        <f t="shared" si="13"/>
        <v>0</v>
      </c>
    </row>
    <row r="319" spans="1:17">
      <c r="A319" t="s">
        <v>14</v>
      </c>
      <c r="B319" s="2">
        <v>45748</v>
      </c>
      <c r="C319" t="s">
        <v>15</v>
      </c>
      <c r="D319" t="s">
        <v>16</v>
      </c>
      <c r="E319">
        <v>56856.63</v>
      </c>
      <c r="F319">
        <v>9431</v>
      </c>
      <c r="G319">
        <v>0.14199999999999999</v>
      </c>
      <c r="H319">
        <v>23</v>
      </c>
      <c r="I319">
        <v>86.9</v>
      </c>
      <c r="J319">
        <v>4.97</v>
      </c>
      <c r="K319">
        <v>0</v>
      </c>
      <c r="L319">
        <v>3.4</v>
      </c>
      <c r="M319">
        <v>658920.30000000005</v>
      </c>
      <c r="N319">
        <v>97910.37</v>
      </c>
      <c r="O319">
        <f t="shared" si="12"/>
        <v>0</v>
      </c>
      <c r="Q319">
        <f t="shared" si="13"/>
        <v>0</v>
      </c>
    </row>
    <row r="320" spans="1:17">
      <c r="A320" t="s">
        <v>33</v>
      </c>
      <c r="B320" s="2">
        <v>45658</v>
      </c>
      <c r="C320" t="s">
        <v>27</v>
      </c>
      <c r="D320" t="s">
        <v>16</v>
      </c>
      <c r="E320">
        <v>138855.51</v>
      </c>
      <c r="F320">
        <v>5145</v>
      </c>
      <c r="G320">
        <v>0.06</v>
      </c>
      <c r="H320">
        <v>17</v>
      </c>
      <c r="I320">
        <v>88.2</v>
      </c>
      <c r="J320">
        <v>9.58</v>
      </c>
      <c r="K320">
        <v>0</v>
      </c>
      <c r="L320">
        <v>3.2</v>
      </c>
      <c r="M320">
        <v>595467.6</v>
      </c>
      <c r="N320">
        <v>104276.46</v>
      </c>
      <c r="O320">
        <f t="shared" si="12"/>
        <v>0</v>
      </c>
      <c r="Q320">
        <f t="shared" si="13"/>
        <v>0</v>
      </c>
    </row>
    <row r="321" spans="1:17">
      <c r="A321" t="s">
        <v>38</v>
      </c>
      <c r="B321" s="2">
        <v>45717</v>
      </c>
      <c r="C321" t="s">
        <v>27</v>
      </c>
      <c r="D321" t="s">
        <v>18</v>
      </c>
      <c r="E321">
        <v>79346.100000000006</v>
      </c>
      <c r="F321">
        <v>9628</v>
      </c>
      <c r="G321">
        <v>0.10199999999999999</v>
      </c>
      <c r="H321">
        <v>20</v>
      </c>
      <c r="I321">
        <v>99</v>
      </c>
      <c r="J321">
        <v>19.010000000000002</v>
      </c>
      <c r="K321">
        <v>1</v>
      </c>
      <c r="L321">
        <v>3.2</v>
      </c>
      <c r="M321">
        <v>685379.08</v>
      </c>
      <c r="N321">
        <v>106898.82</v>
      </c>
      <c r="O321">
        <f t="shared" si="12"/>
        <v>1</v>
      </c>
      <c r="Q321">
        <f t="shared" si="13"/>
        <v>0</v>
      </c>
    </row>
  </sheetData>
  <sortState xmlns:xlrd2="http://schemas.microsoft.com/office/spreadsheetml/2017/richdata2" ref="A2:S321">
    <sortCondition descending="1" ref="S2:S3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926F2-FD45-41AC-BD86-A888EBDE478F}">
  <dimension ref="A1:I344"/>
  <sheetViews>
    <sheetView workbookViewId="0">
      <selection activeCell="M17" sqref="M17"/>
    </sheetView>
  </sheetViews>
  <sheetFormatPr defaultRowHeight="14.5"/>
  <cols>
    <col min="1" max="1" width="21.36328125" customWidth="1"/>
    <col min="2" max="2" width="21.08984375" customWidth="1"/>
    <col min="3" max="3" width="18.26953125" customWidth="1"/>
    <col min="4" max="4" width="16.1796875" customWidth="1"/>
    <col min="5" max="5" width="17.26953125" customWidth="1"/>
    <col min="6" max="6" width="19.36328125" customWidth="1"/>
    <col min="7" max="7" width="17.54296875" customWidth="1"/>
    <col min="8" max="8" width="16.1796875" customWidth="1"/>
    <col min="9" max="9" width="16.36328125" customWidth="1"/>
  </cols>
  <sheetData>
    <row r="1" spans="1:9">
      <c r="A1" t="s">
        <v>105</v>
      </c>
    </row>
    <row r="2" spans="1:9" ht="15" thickBot="1"/>
    <row r="3" spans="1:9">
      <c r="A3" s="7" t="s">
        <v>106</v>
      </c>
      <c r="B3" s="7"/>
    </row>
    <row r="4" spans="1:9">
      <c r="A4" t="s">
        <v>107</v>
      </c>
      <c r="B4">
        <v>0.40895561021322308</v>
      </c>
    </row>
    <row r="5" spans="1:9">
      <c r="A5" t="s">
        <v>108</v>
      </c>
      <c r="B5">
        <v>0.16724469112486964</v>
      </c>
    </row>
    <row r="6" spans="1:9">
      <c r="A6" t="s">
        <v>109</v>
      </c>
      <c r="B6">
        <v>0.16462596373846985</v>
      </c>
    </row>
    <row r="7" spans="1:9">
      <c r="A7" t="s">
        <v>110</v>
      </c>
      <c r="B7">
        <v>94846.033832158544</v>
      </c>
    </row>
    <row r="8" spans="1:9" ht="15" thickBot="1">
      <c r="A8" s="5" t="s">
        <v>111</v>
      </c>
      <c r="B8" s="5">
        <v>320</v>
      </c>
    </row>
    <row r="10" spans="1:9" ht="15" thickBot="1">
      <c r="A10" t="s">
        <v>112</v>
      </c>
    </row>
    <row r="11" spans="1:9">
      <c r="A11" s="6"/>
      <c r="B11" s="6" t="s">
        <v>117</v>
      </c>
      <c r="C11" s="6" t="s">
        <v>118</v>
      </c>
      <c r="D11" s="6" t="s">
        <v>119</v>
      </c>
      <c r="E11" s="6" t="s">
        <v>120</v>
      </c>
      <c r="F11" s="6" t="s">
        <v>121</v>
      </c>
    </row>
    <row r="12" spans="1:9">
      <c r="A12" t="s">
        <v>113</v>
      </c>
      <c r="B12">
        <v>1</v>
      </c>
      <c r="C12">
        <v>574513714277.0127</v>
      </c>
      <c r="D12">
        <v>574513714277.0127</v>
      </c>
      <c r="E12">
        <v>63.864872683367452</v>
      </c>
      <c r="F12">
        <v>2.4800615101361775E-14</v>
      </c>
    </row>
    <row r="13" spans="1:9">
      <c r="A13" t="s">
        <v>114</v>
      </c>
      <c r="B13">
        <v>318</v>
      </c>
      <c r="C13">
        <v>2860654902513.7256</v>
      </c>
      <c r="D13">
        <v>8995770133.6909618</v>
      </c>
    </row>
    <row r="14" spans="1:9" ht="15" thickBot="1">
      <c r="A14" s="5" t="s">
        <v>115</v>
      </c>
      <c r="B14" s="5">
        <v>319</v>
      </c>
      <c r="C14" s="5">
        <v>3435168616790.7383</v>
      </c>
      <c r="D14" s="5"/>
      <c r="E14" s="5"/>
      <c r="F14" s="5"/>
    </row>
    <row r="15" spans="1:9" ht="15" thickBot="1"/>
    <row r="16" spans="1:9">
      <c r="A16" s="6"/>
      <c r="B16" s="6" t="s">
        <v>122</v>
      </c>
      <c r="C16" s="6" t="s">
        <v>110</v>
      </c>
      <c r="D16" s="6" t="s">
        <v>123</v>
      </c>
      <c r="E16" s="6" t="s">
        <v>124</v>
      </c>
      <c r="F16" s="6" t="s">
        <v>125</v>
      </c>
      <c r="G16" s="6" t="s">
        <v>126</v>
      </c>
      <c r="H16" s="6" t="s">
        <v>127</v>
      </c>
      <c r="I16" s="6" t="s">
        <v>128</v>
      </c>
    </row>
    <row r="17" spans="1:9">
      <c r="A17" t="s">
        <v>116</v>
      </c>
      <c r="B17">
        <v>560777.34544943715</v>
      </c>
      <c r="C17">
        <v>15906.905953068683</v>
      </c>
      <c r="D17">
        <v>35.253703460870383</v>
      </c>
      <c r="E17">
        <v>6.9528768762849244E-112</v>
      </c>
      <c r="F17">
        <v>529481.27234763233</v>
      </c>
      <c r="G17">
        <v>592073.41855124198</v>
      </c>
      <c r="H17">
        <v>529481.27234763233</v>
      </c>
      <c r="I17">
        <v>592073.41855124198</v>
      </c>
    </row>
    <row r="18" spans="1:9" ht="15" thickBot="1">
      <c r="A18" s="5" t="s">
        <v>4</v>
      </c>
      <c r="B18" s="5">
        <v>2.1295753275898304</v>
      </c>
      <c r="C18" s="5">
        <v>0.26647838106932364</v>
      </c>
      <c r="D18" s="5">
        <v>7.9915500801388726</v>
      </c>
      <c r="E18" s="5">
        <v>2.4800615101360068E-14</v>
      </c>
      <c r="F18" s="5">
        <v>1.6052919176921758</v>
      </c>
      <c r="G18" s="5">
        <v>2.6538587374874849</v>
      </c>
      <c r="H18" s="5">
        <v>1.6052919176921758</v>
      </c>
      <c r="I18" s="5">
        <v>2.6538587374874849</v>
      </c>
    </row>
    <row r="22" spans="1:9">
      <c r="A22" t="s">
        <v>129</v>
      </c>
    </row>
    <row r="23" spans="1:9" ht="15" thickBot="1"/>
    <row r="24" spans="1:9">
      <c r="A24" s="6" t="s">
        <v>130</v>
      </c>
      <c r="B24" s="6" t="s">
        <v>131</v>
      </c>
      <c r="C24" s="6" t="s">
        <v>132</v>
      </c>
    </row>
    <row r="25" spans="1:9">
      <c r="A25">
        <v>1</v>
      </c>
      <c r="B25">
        <v>673129.50187817472</v>
      </c>
      <c r="C25">
        <v>40481.658121825312</v>
      </c>
    </row>
    <row r="26" spans="1:9">
      <c r="A26">
        <v>2</v>
      </c>
      <c r="B26">
        <v>629491.58589766023</v>
      </c>
      <c r="C26">
        <v>-3977.5458976601949</v>
      </c>
    </row>
    <row r="27" spans="1:9">
      <c r="A27">
        <v>3</v>
      </c>
      <c r="B27">
        <v>682929.80753574311</v>
      </c>
      <c r="C27">
        <v>137589.23246425693</v>
      </c>
    </row>
    <row r="28" spans="1:9">
      <c r="A28">
        <v>4</v>
      </c>
      <c r="B28">
        <v>728671.76523566956</v>
      </c>
      <c r="C28">
        <v>6837.6347643304616</v>
      </c>
    </row>
    <row r="29" spans="1:9">
      <c r="A29">
        <v>5</v>
      </c>
      <c r="B29">
        <v>715663.78674091899</v>
      </c>
      <c r="C29">
        <v>11578.073259080993</v>
      </c>
    </row>
    <row r="30" spans="1:9">
      <c r="A30">
        <v>6</v>
      </c>
      <c r="B30">
        <v>699780.22138557059</v>
      </c>
      <c r="C30">
        <v>140327.8986144294</v>
      </c>
    </row>
    <row r="31" spans="1:9">
      <c r="A31">
        <v>7</v>
      </c>
      <c r="B31">
        <v>727122.66955087415</v>
      </c>
      <c r="C31">
        <v>60592.840449125855</v>
      </c>
    </row>
    <row r="32" spans="1:9">
      <c r="A32">
        <v>8</v>
      </c>
      <c r="B32">
        <v>681988.85467724758</v>
      </c>
      <c r="C32">
        <v>42227.215322752367</v>
      </c>
    </row>
    <row r="33" spans="1:3">
      <c r="A33">
        <v>9</v>
      </c>
      <c r="B33">
        <v>691515.80804576655</v>
      </c>
      <c r="C33">
        <v>44270.831954233465</v>
      </c>
    </row>
    <row r="34" spans="1:3">
      <c r="A34">
        <v>10</v>
      </c>
      <c r="B34">
        <v>744819.24886136618</v>
      </c>
      <c r="C34">
        <v>93431.071138633764</v>
      </c>
    </row>
    <row r="35" spans="1:3">
      <c r="A35">
        <v>11</v>
      </c>
      <c r="B35">
        <v>689890.04764917784</v>
      </c>
      <c r="C35">
        <v>-7682.0376491778297</v>
      </c>
    </row>
    <row r="36" spans="1:3">
      <c r="A36">
        <v>12</v>
      </c>
      <c r="B36">
        <v>628917.89960016089</v>
      </c>
      <c r="C36">
        <v>151663.05039983906</v>
      </c>
    </row>
    <row r="37" spans="1:3">
      <c r="A37">
        <v>13</v>
      </c>
      <c r="B37">
        <v>692067.34675985901</v>
      </c>
      <c r="C37">
        <v>31237.763240140979</v>
      </c>
    </row>
    <row r="38" spans="1:3">
      <c r="A38">
        <v>14</v>
      </c>
      <c r="B38">
        <v>681603.69968349964</v>
      </c>
      <c r="C38">
        <v>131713.01031650032</v>
      </c>
    </row>
    <row r="39" spans="1:3">
      <c r="A39">
        <v>15</v>
      </c>
      <c r="B39">
        <v>678921.09493908798</v>
      </c>
      <c r="C39">
        <v>84241.35506091197</v>
      </c>
    </row>
    <row r="40" spans="1:3">
      <c r="A40">
        <v>16</v>
      </c>
      <c r="B40">
        <v>697696.75136382307</v>
      </c>
      <c r="C40">
        <v>97457.088636176893</v>
      </c>
    </row>
    <row r="41" spans="1:3">
      <c r="A41">
        <v>17</v>
      </c>
      <c r="B41">
        <v>642334.92692383495</v>
      </c>
      <c r="C41">
        <v>44402.943076165044</v>
      </c>
    </row>
    <row r="42" spans="1:3">
      <c r="A42">
        <v>18</v>
      </c>
      <c r="B42">
        <v>691833.98789546173</v>
      </c>
      <c r="C42">
        <v>222710.18210453831</v>
      </c>
    </row>
    <row r="43" spans="1:3">
      <c r="A43">
        <v>19</v>
      </c>
      <c r="B43">
        <v>610299.7039751478</v>
      </c>
      <c r="C43">
        <v>10673.326024852227</v>
      </c>
    </row>
    <row r="44" spans="1:3">
      <c r="A44">
        <v>20</v>
      </c>
      <c r="B44">
        <v>696180.23818153981</v>
      </c>
      <c r="C44">
        <v>102866.70181846013</v>
      </c>
    </row>
    <row r="45" spans="1:3">
      <c r="A45">
        <v>21</v>
      </c>
      <c r="B45">
        <v>676415.13846809999</v>
      </c>
      <c r="C45">
        <v>119049.33153189998</v>
      </c>
    </row>
    <row r="46" spans="1:3">
      <c r="A46">
        <v>22</v>
      </c>
      <c r="B46">
        <v>663931.52530626184</v>
      </c>
      <c r="C46">
        <v>114367.35469373816</v>
      </c>
    </row>
    <row r="47" spans="1:3">
      <c r="A47">
        <v>23</v>
      </c>
      <c r="B47">
        <v>731518.90096989076</v>
      </c>
      <c r="C47">
        <v>141861.11903010926</v>
      </c>
    </row>
    <row r="48" spans="1:3">
      <c r="A48">
        <v>24</v>
      </c>
      <c r="B48">
        <v>710155.9382966538</v>
      </c>
      <c r="C48">
        <v>77931.741703346255</v>
      </c>
    </row>
    <row r="49" spans="1:3">
      <c r="A49">
        <v>25</v>
      </c>
      <c r="B49">
        <v>691588.72470498318</v>
      </c>
      <c r="C49">
        <v>86809.245295016794</v>
      </c>
    </row>
    <row r="50" spans="1:3">
      <c r="A50">
        <v>26</v>
      </c>
      <c r="B50">
        <v>713790.4206209915</v>
      </c>
      <c r="C50">
        <v>-22342.990620991448</v>
      </c>
    </row>
    <row r="51" spans="1:3">
      <c r="A51">
        <v>27</v>
      </c>
      <c r="B51">
        <v>704394.41483936599</v>
      </c>
      <c r="C51">
        <v>49079.135160634061</v>
      </c>
    </row>
    <row r="52" spans="1:3">
      <c r="A52">
        <v>28</v>
      </c>
      <c r="B52">
        <v>642548.39555467246</v>
      </c>
      <c r="C52">
        <v>133561.92444532749</v>
      </c>
    </row>
    <row r="53" spans="1:3">
      <c r="A53">
        <v>29</v>
      </c>
      <c r="B53">
        <v>705753.59499644698</v>
      </c>
      <c r="C53">
        <v>-48324.414996446925</v>
      </c>
    </row>
    <row r="54" spans="1:3">
      <c r="A54">
        <v>30</v>
      </c>
      <c r="B54">
        <v>673825.34061646473</v>
      </c>
      <c r="C54">
        <v>-38643.990616464755</v>
      </c>
    </row>
    <row r="55" spans="1:3">
      <c r="A55">
        <v>31</v>
      </c>
      <c r="B55">
        <v>732341.91794674448</v>
      </c>
      <c r="C55">
        <v>44580.252053255565</v>
      </c>
    </row>
    <row r="56" spans="1:3">
      <c r="A56">
        <v>32</v>
      </c>
      <c r="B56">
        <v>670345.16732036415</v>
      </c>
      <c r="C56">
        <v>7295.4826796358684</v>
      </c>
    </row>
    <row r="57" spans="1:3">
      <c r="A57">
        <v>33</v>
      </c>
      <c r="B57">
        <v>678119.28853249713</v>
      </c>
      <c r="C57">
        <v>-2941.6085324970772</v>
      </c>
    </row>
    <row r="58" spans="1:3">
      <c r="A58">
        <v>34</v>
      </c>
      <c r="B58">
        <v>611706.07552148809</v>
      </c>
      <c r="C58">
        <v>127668.48447851196</v>
      </c>
    </row>
    <row r="59" spans="1:3">
      <c r="A59">
        <v>35</v>
      </c>
      <c r="B59">
        <v>677793.29314134968</v>
      </c>
      <c r="C59">
        <v>50164.186858650297</v>
      </c>
    </row>
    <row r="60" spans="1:3">
      <c r="A60">
        <v>36</v>
      </c>
      <c r="B60">
        <v>721070.20351233112</v>
      </c>
      <c r="C60">
        <v>99523.72648766893</v>
      </c>
    </row>
    <row r="61" spans="1:3">
      <c r="A61">
        <v>37</v>
      </c>
      <c r="B61">
        <v>705904.75225319923</v>
      </c>
      <c r="C61">
        <v>144259.50774680078</v>
      </c>
    </row>
    <row r="62" spans="1:3">
      <c r="A62">
        <v>38</v>
      </c>
      <c r="B62">
        <v>709376.98223332793</v>
      </c>
      <c r="C62">
        <v>49450.657766672084</v>
      </c>
    </row>
    <row r="63" spans="1:3">
      <c r="A63">
        <v>39</v>
      </c>
      <c r="B63">
        <v>720299.53149702959</v>
      </c>
      <c r="C63">
        <v>29260.178502970375</v>
      </c>
    </row>
    <row r="64" spans="1:3">
      <c r="A64">
        <v>40</v>
      </c>
      <c r="B64">
        <v>720243.26811687462</v>
      </c>
      <c r="C64">
        <v>177787.77188312542</v>
      </c>
    </row>
    <row r="65" spans="1:3">
      <c r="A65">
        <v>41</v>
      </c>
      <c r="B65">
        <v>681136.4708566264</v>
      </c>
      <c r="C65">
        <v>161021.44914337364</v>
      </c>
    </row>
    <row r="66" spans="1:3">
      <c r="A66">
        <v>42</v>
      </c>
      <c r="B66">
        <v>670302.06471573364</v>
      </c>
      <c r="C66">
        <v>45588.465284266393</v>
      </c>
    </row>
    <row r="67" spans="1:3">
      <c r="A67">
        <v>43</v>
      </c>
      <c r="B67">
        <v>623364.11621607956</v>
      </c>
      <c r="C67">
        <v>160217.88378392044</v>
      </c>
    </row>
    <row r="68" spans="1:3">
      <c r="A68">
        <v>44</v>
      </c>
      <c r="B68">
        <v>649835.01438281371</v>
      </c>
      <c r="C68">
        <v>155140.48561718629</v>
      </c>
    </row>
    <row r="69" spans="1:3">
      <c r="A69">
        <v>45</v>
      </c>
      <c r="B69">
        <v>714427.33400996705</v>
      </c>
      <c r="C69">
        <v>111370.57599003299</v>
      </c>
    </row>
    <row r="70" spans="1:3">
      <c r="A70">
        <v>46</v>
      </c>
      <c r="B70">
        <v>661382.57270940975</v>
      </c>
      <c r="C70">
        <v>-3310.4327094097389</v>
      </c>
    </row>
    <row r="71" spans="1:3">
      <c r="A71">
        <v>47</v>
      </c>
      <c r="B71">
        <v>627236.08878095006</v>
      </c>
      <c r="C71">
        <v>-40928.868780950084</v>
      </c>
    </row>
    <row r="72" spans="1:3">
      <c r="A72">
        <v>48</v>
      </c>
      <c r="B72">
        <v>699865.21273689461</v>
      </c>
      <c r="C72">
        <v>73949.927263105405</v>
      </c>
    </row>
    <row r="73" spans="1:3">
      <c r="A73">
        <v>49</v>
      </c>
      <c r="B73">
        <v>713798.17227518396</v>
      </c>
      <c r="C73">
        <v>12049.817724816035</v>
      </c>
    </row>
    <row r="74" spans="1:3">
      <c r="A74">
        <v>50</v>
      </c>
      <c r="B74">
        <v>752618.86109017045</v>
      </c>
      <c r="C74">
        <v>-12516.221090170438</v>
      </c>
    </row>
    <row r="75" spans="1:3">
      <c r="A75">
        <v>51</v>
      </c>
      <c r="B75">
        <v>663064.5538946467</v>
      </c>
      <c r="C75">
        <v>102842.39610535325</v>
      </c>
    </row>
    <row r="76" spans="1:3">
      <c r="A76">
        <v>52</v>
      </c>
      <c r="B76">
        <v>713763.60926761711</v>
      </c>
      <c r="C76">
        <v>216818.09073238284</v>
      </c>
    </row>
    <row r="77" spans="1:3">
      <c r="A77">
        <v>53</v>
      </c>
      <c r="B77">
        <v>773466.57301289716</v>
      </c>
      <c r="C77">
        <v>-26788.823012897163</v>
      </c>
    </row>
    <row r="78" spans="1:3">
      <c r="A78">
        <v>54</v>
      </c>
      <c r="B78">
        <v>608452.70199777582</v>
      </c>
      <c r="C78">
        <v>56889.788002224173</v>
      </c>
    </row>
    <row r="79" spans="1:3">
      <c r="A79">
        <v>55</v>
      </c>
      <c r="B79">
        <v>661066.60761805519</v>
      </c>
      <c r="C79">
        <v>35677.542381944833</v>
      </c>
    </row>
    <row r="80" spans="1:3">
      <c r="A80">
        <v>56</v>
      </c>
      <c r="B80">
        <v>711843.54156075558</v>
      </c>
      <c r="C80">
        <v>-49916.401560755563</v>
      </c>
    </row>
    <row r="81" spans="1:3">
      <c r="A81">
        <v>57</v>
      </c>
      <c r="B81">
        <v>733689.27896075719</v>
      </c>
      <c r="C81">
        <v>-12836.77896075719</v>
      </c>
    </row>
    <row r="82" spans="1:3">
      <c r="A82">
        <v>58</v>
      </c>
      <c r="B82">
        <v>621833.18580882845</v>
      </c>
      <c r="C82">
        <v>76054.904191171518</v>
      </c>
    </row>
    <row r="83" spans="1:3">
      <c r="A83">
        <v>59</v>
      </c>
      <c r="B83">
        <v>802986.72490819404</v>
      </c>
      <c r="C83">
        <v>67950.675091805984</v>
      </c>
    </row>
    <row r="84" spans="1:3">
      <c r="A84">
        <v>60</v>
      </c>
      <c r="B84">
        <v>677633.149076715</v>
      </c>
      <c r="C84">
        <v>13479.450923284981</v>
      </c>
    </row>
    <row r="85" spans="1:3">
      <c r="A85">
        <v>61</v>
      </c>
      <c r="B85">
        <v>669013.18184021651</v>
      </c>
      <c r="C85">
        <v>100689.5781597835</v>
      </c>
    </row>
    <row r="86" spans="1:3">
      <c r="A86">
        <v>62</v>
      </c>
      <c r="B86">
        <v>638455.11752175877</v>
      </c>
      <c r="C86">
        <v>-69354.337521758745</v>
      </c>
    </row>
    <row r="87" spans="1:3">
      <c r="A87">
        <v>63</v>
      </c>
      <c r="B87">
        <v>640177.83748301258</v>
      </c>
      <c r="C87">
        <v>-24211.357483012602</v>
      </c>
    </row>
    <row r="88" spans="1:3">
      <c r="A88">
        <v>64</v>
      </c>
      <c r="B88">
        <v>735649.95766911586</v>
      </c>
      <c r="C88">
        <v>4202.6223308840999</v>
      </c>
    </row>
    <row r="89" spans="1:3">
      <c r="A89">
        <v>65</v>
      </c>
      <c r="B89">
        <v>668359.1040741005</v>
      </c>
      <c r="C89">
        <v>42854.355925899465</v>
      </c>
    </row>
    <row r="90" spans="1:3">
      <c r="A90">
        <v>66</v>
      </c>
      <c r="B90">
        <v>720729.04554485122</v>
      </c>
      <c r="C90">
        <v>22619.794455148745</v>
      </c>
    </row>
    <row r="91" spans="1:3">
      <c r="A91">
        <v>67</v>
      </c>
      <c r="B91">
        <v>702300.9997008387</v>
      </c>
      <c r="C91">
        <v>142409.67029916134</v>
      </c>
    </row>
    <row r="92" spans="1:3">
      <c r="A92">
        <v>68</v>
      </c>
      <c r="B92">
        <v>720398.53545400931</v>
      </c>
      <c r="C92">
        <v>41461.654545990634</v>
      </c>
    </row>
    <row r="93" spans="1:3">
      <c r="A93">
        <v>69</v>
      </c>
      <c r="B93">
        <v>666639.15256077261</v>
      </c>
      <c r="C93">
        <v>-63341.582560772658</v>
      </c>
    </row>
    <row r="94" spans="1:3">
      <c r="A94">
        <v>70</v>
      </c>
      <c r="B94">
        <v>708594.78921550419</v>
      </c>
      <c r="C94">
        <v>-44432.299215504201</v>
      </c>
    </row>
    <row r="95" spans="1:3">
      <c r="A95">
        <v>71</v>
      </c>
      <c r="B95">
        <v>644557.9267210461</v>
      </c>
      <c r="C95">
        <v>-114958.98672104615</v>
      </c>
    </row>
    <row r="96" spans="1:3">
      <c r="A96">
        <v>72</v>
      </c>
      <c r="B96">
        <v>669146.02474915155</v>
      </c>
      <c r="C96">
        <v>143006.57525084843</v>
      </c>
    </row>
    <row r="97" spans="1:3">
      <c r="A97">
        <v>73</v>
      </c>
      <c r="B97">
        <v>663609.95943179575</v>
      </c>
      <c r="C97">
        <v>-37937.099431795767</v>
      </c>
    </row>
    <row r="98" spans="1:3">
      <c r="A98">
        <v>74</v>
      </c>
      <c r="B98">
        <v>639214.56667508394</v>
      </c>
      <c r="C98">
        <v>99333.853324916097</v>
      </c>
    </row>
    <row r="99" spans="1:3">
      <c r="A99">
        <v>75</v>
      </c>
      <c r="B99">
        <v>654930.02335407236</v>
      </c>
      <c r="C99">
        <v>-8370.3133540723938</v>
      </c>
    </row>
    <row r="100" spans="1:3">
      <c r="A100">
        <v>76</v>
      </c>
      <c r="B100">
        <v>673038.12180086784</v>
      </c>
      <c r="C100">
        <v>28603.848199132131</v>
      </c>
    </row>
    <row r="101" spans="1:3">
      <c r="A101">
        <v>77</v>
      </c>
      <c r="B101">
        <v>653030.42086610897</v>
      </c>
      <c r="C101">
        <v>59837.929133891012</v>
      </c>
    </row>
    <row r="102" spans="1:3">
      <c r="A102">
        <v>78</v>
      </c>
      <c r="B102">
        <v>616674.65160554776</v>
      </c>
      <c r="C102">
        <v>120395.5283944523</v>
      </c>
    </row>
    <row r="103" spans="1:3">
      <c r="A103">
        <v>79</v>
      </c>
      <c r="B103">
        <v>721059.87507199228</v>
      </c>
      <c r="C103">
        <v>-11581.485071992269</v>
      </c>
    </row>
    <row r="104" spans="1:3">
      <c r="A104">
        <v>80</v>
      </c>
      <c r="B104">
        <v>709874.0464105407</v>
      </c>
      <c r="C104">
        <v>19550.373589459341</v>
      </c>
    </row>
    <row r="105" spans="1:3">
      <c r="A105">
        <v>81</v>
      </c>
      <c r="B105">
        <v>654881.87365591549</v>
      </c>
      <c r="C105">
        <v>91233.716344084474</v>
      </c>
    </row>
    <row r="106" spans="1:3">
      <c r="A106">
        <v>82</v>
      </c>
      <c r="B106">
        <v>659001.62231015111</v>
      </c>
      <c r="C106">
        <v>-126357.16231015115</v>
      </c>
    </row>
    <row r="107" spans="1:3">
      <c r="A107">
        <v>83</v>
      </c>
      <c r="B107">
        <v>685965.13384166348</v>
      </c>
      <c r="C107">
        <v>-12616.573841663427</v>
      </c>
    </row>
    <row r="108" spans="1:3">
      <c r="A108">
        <v>84</v>
      </c>
      <c r="B108">
        <v>678076.82480046502</v>
      </c>
      <c r="C108">
        <v>-3302.7348004650557</v>
      </c>
    </row>
    <row r="109" spans="1:3">
      <c r="A109">
        <v>85</v>
      </c>
      <c r="B109">
        <v>713741.03576914466</v>
      </c>
      <c r="C109">
        <v>208427.56423085532</v>
      </c>
    </row>
    <row r="110" spans="1:3">
      <c r="A110">
        <v>86</v>
      </c>
      <c r="B110">
        <v>704997.06336132064</v>
      </c>
      <c r="C110">
        <v>57331.246638679411</v>
      </c>
    </row>
    <row r="111" spans="1:3">
      <c r="A111">
        <v>87</v>
      </c>
      <c r="B111">
        <v>654552.34316972434</v>
      </c>
      <c r="C111">
        <v>28086.936830275692</v>
      </c>
    </row>
    <row r="112" spans="1:3">
      <c r="A112">
        <v>88</v>
      </c>
      <c r="B112">
        <v>705545.62066995446</v>
      </c>
      <c r="C112">
        <v>205246.31933004549</v>
      </c>
    </row>
    <row r="113" spans="1:3">
      <c r="A113">
        <v>89</v>
      </c>
      <c r="B113">
        <v>659166.83476406557</v>
      </c>
      <c r="C113">
        <v>-43097.424764065538</v>
      </c>
    </row>
    <row r="114" spans="1:3">
      <c r="A114">
        <v>90</v>
      </c>
      <c r="B114">
        <v>664294.74567413551</v>
      </c>
      <c r="C114">
        <v>92325.024325864506</v>
      </c>
    </row>
    <row r="115" spans="1:3">
      <c r="A115">
        <v>91</v>
      </c>
      <c r="B115">
        <v>727804.49568350858</v>
      </c>
      <c r="C115">
        <v>92924.794316491461</v>
      </c>
    </row>
    <row r="116" spans="1:3">
      <c r="A116">
        <v>92</v>
      </c>
      <c r="B116">
        <v>721374.45593938383</v>
      </c>
      <c r="C116">
        <v>-1294.9159393837908</v>
      </c>
    </row>
    <row r="117" spans="1:3">
      <c r="A117">
        <v>93</v>
      </c>
      <c r="B117">
        <v>661700.24146102625</v>
      </c>
      <c r="C117">
        <v>175207.99853897374</v>
      </c>
    </row>
    <row r="118" spans="1:3">
      <c r="A118">
        <v>94</v>
      </c>
      <c r="B118">
        <v>646946.22415518481</v>
      </c>
      <c r="C118">
        <v>-54750.374155184836</v>
      </c>
    </row>
    <row r="119" spans="1:3">
      <c r="A119">
        <v>95</v>
      </c>
      <c r="B119">
        <v>706040.55527183972</v>
      </c>
      <c r="C119">
        <v>-64475.955271839746</v>
      </c>
    </row>
    <row r="120" spans="1:3">
      <c r="A120">
        <v>96</v>
      </c>
      <c r="B120">
        <v>667349.06779197801</v>
      </c>
      <c r="C120">
        <v>-52548.977791978046</v>
      </c>
    </row>
    <row r="121" spans="1:3">
      <c r="A121">
        <v>97</v>
      </c>
      <c r="B121">
        <v>717204.32153289742</v>
      </c>
      <c r="C121">
        <v>50588.618467102526</v>
      </c>
    </row>
    <row r="122" spans="1:3">
      <c r="A122">
        <v>98</v>
      </c>
      <c r="B122">
        <v>721146.52749207197</v>
      </c>
      <c r="C122">
        <v>112870.49250792805</v>
      </c>
    </row>
    <row r="123" spans="1:3">
      <c r="A123">
        <v>99</v>
      </c>
      <c r="B123">
        <v>728944.6277223936</v>
      </c>
      <c r="C123">
        <v>-26892.157722393633</v>
      </c>
    </row>
    <row r="124" spans="1:3">
      <c r="A124">
        <v>100</v>
      </c>
      <c r="B124">
        <v>678730.49794726865</v>
      </c>
      <c r="C124">
        <v>-104294.20794726862</v>
      </c>
    </row>
    <row r="125" spans="1:3">
      <c r="A125">
        <v>101</v>
      </c>
      <c r="B125">
        <v>713344.16811109497</v>
      </c>
      <c r="C125">
        <v>-87350.338111095014</v>
      </c>
    </row>
    <row r="126" spans="1:3">
      <c r="A126">
        <v>102</v>
      </c>
      <c r="B126">
        <v>768370.35018370172</v>
      </c>
      <c r="C126">
        <v>-38929.900183701771</v>
      </c>
    </row>
    <row r="127" spans="1:3">
      <c r="A127">
        <v>103</v>
      </c>
      <c r="B127">
        <v>685758.41596461425</v>
      </c>
      <c r="C127">
        <v>-49145.185964614269</v>
      </c>
    </row>
    <row r="128" spans="1:3">
      <c r="A128">
        <v>104</v>
      </c>
      <c r="B128">
        <v>684120.36791838543</v>
      </c>
      <c r="C128">
        <v>43106.832081614528</v>
      </c>
    </row>
    <row r="129" spans="1:3">
      <c r="A129">
        <v>105</v>
      </c>
      <c r="B129">
        <v>598178.16121050646</v>
      </c>
      <c r="C129">
        <v>-36580.831210506498</v>
      </c>
    </row>
    <row r="130" spans="1:3">
      <c r="A130">
        <v>106</v>
      </c>
      <c r="B130">
        <v>619124.04655583506</v>
      </c>
      <c r="C130">
        <v>-131385.78655583505</v>
      </c>
    </row>
    <row r="131" spans="1:3">
      <c r="A131">
        <v>107</v>
      </c>
      <c r="B131">
        <v>658112.75886416843</v>
      </c>
      <c r="C131">
        <v>56984.811135831522</v>
      </c>
    </row>
    <row r="132" spans="1:3">
      <c r="A132">
        <v>108</v>
      </c>
      <c r="B132">
        <v>682644.38055458618</v>
      </c>
      <c r="C132">
        <v>-146098.89055458619</v>
      </c>
    </row>
    <row r="133" spans="1:3">
      <c r="A133">
        <v>109</v>
      </c>
      <c r="B133">
        <v>708102.51658277854</v>
      </c>
      <c r="C133">
        <v>-33813.416582778562</v>
      </c>
    </row>
    <row r="134" spans="1:3">
      <c r="A134">
        <v>110</v>
      </c>
      <c r="B134">
        <v>719514.05893320136</v>
      </c>
      <c r="C134">
        <v>-86504.528933201334</v>
      </c>
    </row>
    <row r="135" spans="1:3">
      <c r="A135">
        <v>111</v>
      </c>
      <c r="B135">
        <v>647099.87301507045</v>
      </c>
      <c r="C135">
        <v>134855.64698492957</v>
      </c>
    </row>
    <row r="136" spans="1:3">
      <c r="A136">
        <v>112</v>
      </c>
      <c r="B136">
        <v>671050.16323256271</v>
      </c>
      <c r="C136">
        <v>5287.2467674373183</v>
      </c>
    </row>
    <row r="137" spans="1:3">
      <c r="A137">
        <v>113</v>
      </c>
      <c r="B137">
        <v>694051.94059914653</v>
      </c>
      <c r="C137">
        <v>-53385.410599146504</v>
      </c>
    </row>
    <row r="138" spans="1:3">
      <c r="A138">
        <v>114</v>
      </c>
      <c r="B138">
        <v>743977.42773436988</v>
      </c>
      <c r="C138">
        <v>27151.642265630071</v>
      </c>
    </row>
    <row r="139" spans="1:3">
      <c r="A139">
        <v>115</v>
      </c>
      <c r="B139">
        <v>698948.74999466643</v>
      </c>
      <c r="C139">
        <v>-93770.749994666432</v>
      </c>
    </row>
    <row r="140" spans="1:3">
      <c r="A140">
        <v>116</v>
      </c>
      <c r="B140">
        <v>737626.16098161275</v>
      </c>
      <c r="C140">
        <v>-83309.070981612778</v>
      </c>
    </row>
    <row r="141" spans="1:3">
      <c r="A141">
        <v>117</v>
      </c>
      <c r="B141">
        <v>699706.13345992367</v>
      </c>
      <c r="C141">
        <v>80638.046540076379</v>
      </c>
    </row>
    <row r="142" spans="1:3">
      <c r="A142">
        <v>118</v>
      </c>
      <c r="B142">
        <v>615758.89162317757</v>
      </c>
      <c r="C142">
        <v>31753.958376822411</v>
      </c>
    </row>
    <row r="143" spans="1:3">
      <c r="A143">
        <v>119</v>
      </c>
      <c r="B143">
        <v>693891.05118314712</v>
      </c>
      <c r="C143">
        <v>18484.718816852896</v>
      </c>
    </row>
    <row r="144" spans="1:3">
      <c r="A144">
        <v>120</v>
      </c>
      <c r="B144">
        <v>759639.7728046882</v>
      </c>
      <c r="C144">
        <v>-23006.372804688173</v>
      </c>
    </row>
    <row r="145" spans="1:3">
      <c r="A145">
        <v>121</v>
      </c>
      <c r="B145">
        <v>682478.06072150148</v>
      </c>
      <c r="C145">
        <v>-4166.8907215014333</v>
      </c>
    </row>
    <row r="146" spans="1:3">
      <c r="A146">
        <v>122</v>
      </c>
      <c r="B146">
        <v>678480.08118449745</v>
      </c>
      <c r="C146">
        <v>105192.7388155025</v>
      </c>
    </row>
    <row r="147" spans="1:3">
      <c r="A147">
        <v>123</v>
      </c>
      <c r="B147">
        <v>686550.17077565892</v>
      </c>
      <c r="C147">
        <v>75369.079224341083</v>
      </c>
    </row>
    <row r="148" spans="1:3">
      <c r="A148">
        <v>124</v>
      </c>
      <c r="B148">
        <v>701551.19752374757</v>
      </c>
      <c r="C148">
        <v>12532.48247625248</v>
      </c>
    </row>
    <row r="149" spans="1:3">
      <c r="A149">
        <v>125</v>
      </c>
      <c r="B149">
        <v>650788.89376354776</v>
      </c>
      <c r="C149">
        <v>-94859.49376354774</v>
      </c>
    </row>
    <row r="150" spans="1:3">
      <c r="A150">
        <v>126</v>
      </c>
      <c r="B150">
        <v>650419.34855695104</v>
      </c>
      <c r="C150">
        <v>-65053.618556951056</v>
      </c>
    </row>
    <row r="151" spans="1:3">
      <c r="A151">
        <v>127</v>
      </c>
      <c r="B151">
        <v>677837.92904021603</v>
      </c>
      <c r="C151">
        <v>57642.260959783918</v>
      </c>
    </row>
    <row r="152" spans="1:3">
      <c r="A152">
        <v>128</v>
      </c>
      <c r="B152">
        <v>657053.84882827767</v>
      </c>
      <c r="C152">
        <v>94340.031171722338</v>
      </c>
    </row>
    <row r="153" spans="1:3">
      <c r="A153">
        <v>129</v>
      </c>
      <c r="B153">
        <v>647927.38339586533</v>
      </c>
      <c r="C153">
        <v>-41143.713395865285</v>
      </c>
    </row>
    <row r="154" spans="1:3">
      <c r="A154">
        <v>130</v>
      </c>
      <c r="B154">
        <v>699225.70126601949</v>
      </c>
      <c r="C154">
        <v>129398.14873398049</v>
      </c>
    </row>
    <row r="155" spans="1:3">
      <c r="A155">
        <v>131</v>
      </c>
      <c r="B155">
        <v>681316.39867605455</v>
      </c>
      <c r="C155">
        <v>64264.111323945457</v>
      </c>
    </row>
    <row r="156" spans="1:3">
      <c r="A156">
        <v>132</v>
      </c>
      <c r="B156">
        <v>697042.43934442103</v>
      </c>
      <c r="C156">
        <v>27304.290655578952</v>
      </c>
    </row>
    <row r="157" spans="1:3">
      <c r="A157">
        <v>133</v>
      </c>
      <c r="B157">
        <v>625307.43888551835</v>
      </c>
      <c r="C157">
        <v>40227.261114481604</v>
      </c>
    </row>
    <row r="158" spans="1:3">
      <c r="A158">
        <v>134</v>
      </c>
      <c r="B158">
        <v>692939.70599705284</v>
      </c>
      <c r="C158">
        <v>-127128.71599705284</v>
      </c>
    </row>
    <row r="159" spans="1:3">
      <c r="A159">
        <v>135</v>
      </c>
      <c r="B159">
        <v>662878.00309594988</v>
      </c>
      <c r="C159">
        <v>7751.4769040500978</v>
      </c>
    </row>
    <row r="160" spans="1:3">
      <c r="A160">
        <v>136</v>
      </c>
      <c r="B160">
        <v>650258.69339423766</v>
      </c>
      <c r="C160">
        <v>90237.95660576236</v>
      </c>
    </row>
    <row r="161" spans="1:3">
      <c r="A161">
        <v>137</v>
      </c>
      <c r="B161">
        <v>690962.69344593165</v>
      </c>
      <c r="C161">
        <v>150.92655406834092</v>
      </c>
    </row>
    <row r="162" spans="1:3">
      <c r="A162">
        <v>138</v>
      </c>
      <c r="B162">
        <v>695316.95093524142</v>
      </c>
      <c r="C162">
        <v>-157933.16093524138</v>
      </c>
    </row>
    <row r="163" spans="1:3">
      <c r="A163">
        <v>139</v>
      </c>
      <c r="B163">
        <v>667678.0232928308</v>
      </c>
      <c r="C163">
        <v>27420.486707169213</v>
      </c>
    </row>
    <row r="164" spans="1:3">
      <c r="A164">
        <v>140</v>
      </c>
      <c r="B164">
        <v>689769.59886864945</v>
      </c>
      <c r="C164">
        <v>-84745.728868649458</v>
      </c>
    </row>
    <row r="165" spans="1:3">
      <c r="A165">
        <v>141</v>
      </c>
      <c r="B165">
        <v>716155.31402228004</v>
      </c>
      <c r="C165">
        <v>94199.705977719976</v>
      </c>
    </row>
    <row r="166" spans="1:3">
      <c r="A166">
        <v>142</v>
      </c>
      <c r="B166">
        <v>643304.3522044603</v>
      </c>
      <c r="C166">
        <v>-37529.022204460343</v>
      </c>
    </row>
    <row r="167" spans="1:3">
      <c r="A167">
        <v>143</v>
      </c>
      <c r="B167">
        <v>653808.14177574473</v>
      </c>
      <c r="C167">
        <v>61134.288224255317</v>
      </c>
    </row>
    <row r="168" spans="1:3">
      <c r="A168">
        <v>144</v>
      </c>
      <c r="B168">
        <v>724631.55621991935</v>
      </c>
      <c r="C168">
        <v>77370.123780080699</v>
      </c>
    </row>
    <row r="169" spans="1:3">
      <c r="A169">
        <v>145</v>
      </c>
      <c r="B169">
        <v>678696.12660148146</v>
      </c>
      <c r="C169">
        <v>-68747.126601481461</v>
      </c>
    </row>
    <row r="170" spans="1:3">
      <c r="A170">
        <v>146</v>
      </c>
      <c r="B170">
        <v>646179.44926273276</v>
      </c>
      <c r="C170">
        <v>-113058.18926273275</v>
      </c>
    </row>
    <row r="171" spans="1:3">
      <c r="A171">
        <v>147</v>
      </c>
      <c r="B171">
        <v>669669.83639247878</v>
      </c>
      <c r="C171">
        <v>-57745.566392478766</v>
      </c>
    </row>
    <row r="172" spans="1:3">
      <c r="A172">
        <v>148</v>
      </c>
      <c r="B172">
        <v>642471.96509616531</v>
      </c>
      <c r="C172">
        <v>5481.8149038347183</v>
      </c>
    </row>
    <row r="173" spans="1:3">
      <c r="A173">
        <v>149</v>
      </c>
      <c r="B173">
        <v>692801.00675596693</v>
      </c>
      <c r="C173">
        <v>106955.45324403304</v>
      </c>
    </row>
    <row r="174" spans="1:3">
      <c r="A174">
        <v>150</v>
      </c>
      <c r="B174">
        <v>591697.43757358508</v>
      </c>
      <c r="C174">
        <v>-62844.817573585082</v>
      </c>
    </row>
    <row r="175" spans="1:3">
      <c r="A175">
        <v>151</v>
      </c>
      <c r="B175">
        <v>690428.04226418689</v>
      </c>
      <c r="C175">
        <v>-69058.462264186935</v>
      </c>
    </row>
    <row r="176" spans="1:3">
      <c r="A176">
        <v>152</v>
      </c>
      <c r="B176">
        <v>632158.32530588133</v>
      </c>
      <c r="C176">
        <v>-140253.19530588132</v>
      </c>
    </row>
    <row r="177" spans="1:3">
      <c r="A177">
        <v>153</v>
      </c>
      <c r="B177">
        <v>709634.91639700555</v>
      </c>
      <c r="C177">
        <v>67358.013602994499</v>
      </c>
    </row>
    <row r="178" spans="1:3">
      <c r="A178">
        <v>154</v>
      </c>
      <c r="B178">
        <v>612074.68371494068</v>
      </c>
      <c r="C178">
        <v>-75229.263714940636</v>
      </c>
    </row>
    <row r="179" spans="1:3">
      <c r="A179">
        <v>155</v>
      </c>
      <c r="B179">
        <v>673312.09166676225</v>
      </c>
      <c r="C179">
        <v>57577.918333237758</v>
      </c>
    </row>
    <row r="180" spans="1:3">
      <c r="A180">
        <v>156</v>
      </c>
      <c r="B180">
        <v>697868.22476920055</v>
      </c>
      <c r="C180">
        <v>624.44523079949431</v>
      </c>
    </row>
    <row r="181" spans="1:3">
      <c r="A181">
        <v>157</v>
      </c>
      <c r="B181">
        <v>652962.82814521121</v>
      </c>
      <c r="C181">
        <v>-47211.498145211255</v>
      </c>
    </row>
    <row r="182" spans="1:3">
      <c r="A182">
        <v>158</v>
      </c>
      <c r="B182">
        <v>682468.30726650113</v>
      </c>
      <c r="C182">
        <v>-5371.597266501165</v>
      </c>
    </row>
    <row r="183" spans="1:3">
      <c r="A183">
        <v>159</v>
      </c>
      <c r="B183">
        <v>704511.09427156462</v>
      </c>
      <c r="C183">
        <v>183026.65572843538</v>
      </c>
    </row>
    <row r="184" spans="1:3">
      <c r="A184">
        <v>160</v>
      </c>
      <c r="B184">
        <v>745801.8988047759</v>
      </c>
      <c r="C184">
        <v>-45723.578804775956</v>
      </c>
    </row>
    <row r="185" spans="1:3">
      <c r="A185">
        <v>161</v>
      </c>
      <c r="B185">
        <v>669505.26281116263</v>
      </c>
      <c r="C185">
        <v>-36011.052811162663</v>
      </c>
    </row>
    <row r="186" spans="1:3">
      <c r="A186">
        <v>162</v>
      </c>
      <c r="B186">
        <v>715778.05975299748</v>
      </c>
      <c r="C186">
        <v>-3231.679752997472</v>
      </c>
    </row>
    <row r="187" spans="1:3">
      <c r="A187">
        <v>163</v>
      </c>
      <c r="B187">
        <v>647938.07386400981</v>
      </c>
      <c r="C187">
        <v>-99834.37386400986</v>
      </c>
    </row>
    <row r="188" spans="1:3">
      <c r="A188">
        <v>164</v>
      </c>
      <c r="B188">
        <v>684183.85055890097</v>
      </c>
      <c r="C188">
        <v>135476.73944109899</v>
      </c>
    </row>
    <row r="189" spans="1:3">
      <c r="A189">
        <v>165</v>
      </c>
      <c r="B189">
        <v>635943.98618272471</v>
      </c>
      <c r="C189">
        <v>116377.73381727526</v>
      </c>
    </row>
    <row r="190" spans="1:3">
      <c r="A190">
        <v>166</v>
      </c>
      <c r="B190">
        <v>643759.63411374576</v>
      </c>
      <c r="C190">
        <v>-57822.154113745783</v>
      </c>
    </row>
    <row r="191" spans="1:3">
      <c r="A191">
        <v>167</v>
      </c>
      <c r="B191">
        <v>646429.24844865908</v>
      </c>
      <c r="C191">
        <v>-87007.228448659065</v>
      </c>
    </row>
    <row r="192" spans="1:3">
      <c r="A192">
        <v>168</v>
      </c>
      <c r="B192">
        <v>641335.9857291691</v>
      </c>
      <c r="C192">
        <v>55819.314270830946</v>
      </c>
    </row>
    <row r="193" spans="1:3">
      <c r="A193">
        <v>169</v>
      </c>
      <c r="B193">
        <v>711550.51199567923</v>
      </c>
      <c r="C193">
        <v>116669.15800432081</v>
      </c>
    </row>
    <row r="194" spans="1:3">
      <c r="A194">
        <v>170</v>
      </c>
      <c r="B194">
        <v>659192.36837224336</v>
      </c>
      <c r="C194">
        <v>147423.17162775667</v>
      </c>
    </row>
    <row r="195" spans="1:3">
      <c r="A195">
        <v>171</v>
      </c>
      <c r="B195">
        <v>689238.44019044191</v>
      </c>
      <c r="C195">
        <v>-118273.60019044194</v>
      </c>
    </row>
    <row r="196" spans="1:3">
      <c r="A196">
        <v>172</v>
      </c>
      <c r="B196">
        <v>626883.68665574049</v>
      </c>
      <c r="C196">
        <v>38711.253344259458</v>
      </c>
    </row>
    <row r="197" spans="1:3">
      <c r="A197">
        <v>173</v>
      </c>
      <c r="B197">
        <v>706634.32346467825</v>
      </c>
      <c r="C197">
        <v>148706.95653532178</v>
      </c>
    </row>
    <row r="198" spans="1:3">
      <c r="A198">
        <v>174</v>
      </c>
      <c r="B198">
        <v>688359.15983343334</v>
      </c>
      <c r="C198">
        <v>58141.930166566628</v>
      </c>
    </row>
    <row r="199" spans="1:3">
      <c r="A199">
        <v>175</v>
      </c>
      <c r="B199">
        <v>683646.79295703606</v>
      </c>
      <c r="C199">
        <v>128124.34704296396</v>
      </c>
    </row>
    <row r="200" spans="1:3">
      <c r="A200">
        <v>176</v>
      </c>
      <c r="B200">
        <v>679180.79665028758</v>
      </c>
      <c r="C200">
        <v>-10721.426650287583</v>
      </c>
    </row>
    <row r="201" spans="1:3">
      <c r="A201">
        <v>177</v>
      </c>
      <c r="B201">
        <v>688180.27550591587</v>
      </c>
      <c r="C201">
        <v>-189209.95550591586</v>
      </c>
    </row>
    <row r="202" spans="1:3">
      <c r="A202">
        <v>178</v>
      </c>
      <c r="B202">
        <v>701862.83957718709</v>
      </c>
      <c r="C202">
        <v>147155.46042281296</v>
      </c>
    </row>
    <row r="203" spans="1:3">
      <c r="A203">
        <v>179</v>
      </c>
      <c r="B203">
        <v>638733.66597460757</v>
      </c>
      <c r="C203">
        <v>40997.904025392374</v>
      </c>
    </row>
    <row r="204" spans="1:3">
      <c r="A204">
        <v>180</v>
      </c>
      <c r="B204">
        <v>719247.30832766753</v>
      </c>
      <c r="C204">
        <v>79704.86167233251</v>
      </c>
    </row>
    <row r="205" spans="1:3">
      <c r="A205">
        <v>181</v>
      </c>
      <c r="B205">
        <v>694962.37664319773</v>
      </c>
      <c r="C205">
        <v>66114.703356802231</v>
      </c>
    </row>
    <row r="206" spans="1:3">
      <c r="A206">
        <v>182</v>
      </c>
      <c r="B206">
        <v>676462.13819557987</v>
      </c>
      <c r="C206">
        <v>-54784.838195579825</v>
      </c>
    </row>
    <row r="207" spans="1:3">
      <c r="A207">
        <v>183</v>
      </c>
      <c r="B207">
        <v>727378.09081566532</v>
      </c>
      <c r="C207">
        <v>-112781.77081566537</v>
      </c>
    </row>
    <row r="208" spans="1:3">
      <c r="A208">
        <v>184</v>
      </c>
      <c r="B208">
        <v>600385.76417809923</v>
      </c>
      <c r="C208">
        <v>-102945.94417809922</v>
      </c>
    </row>
    <row r="209" spans="1:3">
      <c r="A209">
        <v>185</v>
      </c>
      <c r="B209">
        <v>668389.4079310121</v>
      </c>
      <c r="C209">
        <v>-23349.437931012129</v>
      </c>
    </row>
    <row r="210" spans="1:3">
      <c r="A210">
        <v>186</v>
      </c>
      <c r="B210">
        <v>649031.05710514192</v>
      </c>
      <c r="C210">
        <v>-57411.107105141971</v>
      </c>
    </row>
    <row r="211" spans="1:3">
      <c r="A211">
        <v>187</v>
      </c>
      <c r="B211">
        <v>706463.57411491207</v>
      </c>
      <c r="C211">
        <v>95366.775885087904</v>
      </c>
    </row>
    <row r="212" spans="1:3">
      <c r="A212">
        <v>188</v>
      </c>
      <c r="B212">
        <v>651706.25092741358</v>
      </c>
      <c r="C212">
        <v>50612.689072586363</v>
      </c>
    </row>
    <row r="213" spans="1:3">
      <c r="A213">
        <v>189</v>
      </c>
      <c r="B213">
        <v>674393.8094544115</v>
      </c>
      <c r="C213">
        <v>-72824.939454411506</v>
      </c>
    </row>
    <row r="214" spans="1:3">
      <c r="A214">
        <v>190</v>
      </c>
      <c r="B214">
        <v>664709.60824370326</v>
      </c>
      <c r="C214">
        <v>1442.9117562967585</v>
      </c>
    </row>
    <row r="215" spans="1:3">
      <c r="A215">
        <v>191</v>
      </c>
      <c r="B215">
        <v>675946.71707904327</v>
      </c>
      <c r="C215">
        <v>26122.20292095677</v>
      </c>
    </row>
    <row r="216" spans="1:3">
      <c r="A216">
        <v>192</v>
      </c>
      <c r="B216">
        <v>595812.79930264596</v>
      </c>
      <c r="C216">
        <v>10465.500697354088</v>
      </c>
    </row>
    <row r="217" spans="1:3">
      <c r="A217">
        <v>193</v>
      </c>
      <c r="B217">
        <v>635958.38211193925</v>
      </c>
      <c r="C217">
        <v>70327.137888060766</v>
      </c>
    </row>
    <row r="218" spans="1:3">
      <c r="A218">
        <v>194</v>
      </c>
      <c r="B218">
        <v>756890.23550773051</v>
      </c>
      <c r="C218">
        <v>68170.284492269508</v>
      </c>
    </row>
    <row r="219" spans="1:3">
      <c r="A219">
        <v>195</v>
      </c>
      <c r="B219">
        <v>581082.10084664158</v>
      </c>
      <c r="C219">
        <v>26816.019153358415</v>
      </c>
    </row>
    <row r="220" spans="1:3">
      <c r="A220">
        <v>196</v>
      </c>
      <c r="B220">
        <v>679583.3928659684</v>
      </c>
      <c r="C220">
        <v>-128620.46286596835</v>
      </c>
    </row>
    <row r="221" spans="1:3">
      <c r="A221">
        <v>197</v>
      </c>
      <c r="B221">
        <v>686673.36670836003</v>
      </c>
      <c r="C221">
        <v>-113518.17670836009</v>
      </c>
    </row>
    <row r="222" spans="1:3">
      <c r="A222">
        <v>198</v>
      </c>
      <c r="B222">
        <v>663126.39676215989</v>
      </c>
      <c r="C222">
        <v>87344.943237840082</v>
      </c>
    </row>
    <row r="223" spans="1:3">
      <c r="A223">
        <v>199</v>
      </c>
      <c r="B223">
        <v>667986.9607856042</v>
      </c>
      <c r="C223">
        <v>-95975.760785604245</v>
      </c>
    </row>
    <row r="224" spans="1:3">
      <c r="A224">
        <v>200</v>
      </c>
      <c r="B224">
        <v>663988.4914462748</v>
      </c>
      <c r="C224">
        <v>-35450.191446274752</v>
      </c>
    </row>
    <row r="225" spans="1:3">
      <c r="A225">
        <v>201</v>
      </c>
      <c r="B225">
        <v>705673.97017494834</v>
      </c>
      <c r="C225">
        <v>52464.319825051702</v>
      </c>
    </row>
    <row r="226" spans="1:3">
      <c r="A226">
        <v>202</v>
      </c>
      <c r="B226">
        <v>649927.92775435641</v>
      </c>
      <c r="C226">
        <v>-47925.607754356461</v>
      </c>
    </row>
    <row r="227" spans="1:3">
      <c r="A227">
        <v>203</v>
      </c>
      <c r="B227">
        <v>719812.64668988273</v>
      </c>
      <c r="C227">
        <v>63985.243310117279</v>
      </c>
    </row>
    <row r="228" spans="1:3">
      <c r="A228">
        <v>204</v>
      </c>
      <c r="B228">
        <v>688941.70516429562</v>
      </c>
      <c r="C228">
        <v>-52166.045164295589</v>
      </c>
    </row>
    <row r="229" spans="1:3">
      <c r="A229">
        <v>205</v>
      </c>
      <c r="B229">
        <v>695034.1646274908</v>
      </c>
      <c r="C229">
        <v>109229.8353725092</v>
      </c>
    </row>
    <row r="230" spans="1:3">
      <c r="A230">
        <v>206</v>
      </c>
      <c r="B230">
        <v>721869.56090729521</v>
      </c>
      <c r="C230">
        <v>63158.689092704793</v>
      </c>
    </row>
    <row r="231" spans="1:3">
      <c r="A231">
        <v>207</v>
      </c>
      <c r="B231">
        <v>734980.44048187498</v>
      </c>
      <c r="C231">
        <v>29968.559518125025</v>
      </c>
    </row>
    <row r="232" spans="1:3">
      <c r="A232">
        <v>208</v>
      </c>
      <c r="B232">
        <v>735195.05908338947</v>
      </c>
      <c r="C232">
        <v>-8418.8390833894955</v>
      </c>
    </row>
    <row r="233" spans="1:3">
      <c r="A233">
        <v>209</v>
      </c>
      <c r="B233">
        <v>601231.4398364384</v>
      </c>
      <c r="C233">
        <v>-150519.51983643841</v>
      </c>
    </row>
    <row r="234" spans="1:3">
      <c r="A234">
        <v>210</v>
      </c>
      <c r="B234">
        <v>656069.45263309928</v>
      </c>
      <c r="C234">
        <v>186370.21736690076</v>
      </c>
    </row>
    <row r="235" spans="1:3">
      <c r="A235">
        <v>211</v>
      </c>
      <c r="B235">
        <v>674427.94654691278</v>
      </c>
      <c r="C235">
        <v>37791.863453087281</v>
      </c>
    </row>
    <row r="236" spans="1:3">
      <c r="A236">
        <v>212</v>
      </c>
      <c r="B236">
        <v>618690.3798361246</v>
      </c>
      <c r="C236">
        <v>53980.160163875436</v>
      </c>
    </row>
    <row r="237" spans="1:3">
      <c r="A237">
        <v>213</v>
      </c>
      <c r="B237">
        <v>665990.61169050843</v>
      </c>
      <c r="C237">
        <v>95972.618309491547</v>
      </c>
    </row>
    <row r="238" spans="1:3">
      <c r="A238">
        <v>214</v>
      </c>
      <c r="B238">
        <v>703379.54442124977</v>
      </c>
      <c r="C238">
        <v>29288.375578750274</v>
      </c>
    </row>
    <row r="239" spans="1:3">
      <c r="A239">
        <v>215</v>
      </c>
      <c r="B239">
        <v>710452.54554828047</v>
      </c>
      <c r="C239">
        <v>50669.874451719574</v>
      </c>
    </row>
    <row r="240" spans="1:3">
      <c r="A240">
        <v>216</v>
      </c>
      <c r="B240">
        <v>652204.3160050303</v>
      </c>
      <c r="C240">
        <v>-124522.75600503024</v>
      </c>
    </row>
    <row r="241" spans="1:3">
      <c r="A241">
        <v>217</v>
      </c>
      <c r="B241">
        <v>695914.21163161728</v>
      </c>
      <c r="C241">
        <v>114532.31836838275</v>
      </c>
    </row>
    <row r="242" spans="1:3">
      <c r="A242">
        <v>218</v>
      </c>
      <c r="B242">
        <v>713982.44442828023</v>
      </c>
      <c r="C242">
        <v>-32126.884428280173</v>
      </c>
    </row>
    <row r="243" spans="1:3">
      <c r="A243">
        <v>219</v>
      </c>
      <c r="B243">
        <v>705872.63825725927</v>
      </c>
      <c r="C243">
        <v>73138.301742740674</v>
      </c>
    </row>
    <row r="244" spans="1:3">
      <c r="A244">
        <v>220</v>
      </c>
      <c r="B244">
        <v>703183.36794207222</v>
      </c>
      <c r="C244">
        <v>-11174.727942072204</v>
      </c>
    </row>
    <row r="245" spans="1:3">
      <c r="A245">
        <v>221</v>
      </c>
      <c r="B245">
        <v>669702.33371197782</v>
      </c>
      <c r="C245">
        <v>47439.216288022231</v>
      </c>
    </row>
    <row r="246" spans="1:3">
      <c r="A246">
        <v>222</v>
      </c>
      <c r="B246">
        <v>691204.05951356061</v>
      </c>
      <c r="C246">
        <v>27126.470486439415</v>
      </c>
    </row>
    <row r="247" spans="1:3">
      <c r="A247">
        <v>223</v>
      </c>
      <c r="B247">
        <v>670611.64108110545</v>
      </c>
      <c r="C247">
        <v>-56586.731081105419</v>
      </c>
    </row>
    <row r="248" spans="1:3">
      <c r="A248">
        <v>224</v>
      </c>
      <c r="B248">
        <v>710628.66142787214</v>
      </c>
      <c r="C248">
        <v>-181552.71142787219</v>
      </c>
    </row>
    <row r="249" spans="1:3">
      <c r="A249">
        <v>225</v>
      </c>
      <c r="B249">
        <v>606640.26302797068</v>
      </c>
      <c r="C249">
        <v>73248.476972029312</v>
      </c>
    </row>
    <row r="250" spans="1:3">
      <c r="A250">
        <v>226</v>
      </c>
      <c r="B250">
        <v>726884.00804391119</v>
      </c>
      <c r="C250">
        <v>-90322.668043911224</v>
      </c>
    </row>
    <row r="251" spans="1:3">
      <c r="A251">
        <v>227</v>
      </c>
      <c r="B251">
        <v>728654.15364771034</v>
      </c>
      <c r="C251">
        <v>-62080.953647710383</v>
      </c>
    </row>
    <row r="252" spans="1:3">
      <c r="A252">
        <v>228</v>
      </c>
      <c r="B252">
        <v>660066.77200175181</v>
      </c>
      <c r="C252">
        <v>-37255.032001751824</v>
      </c>
    </row>
    <row r="253" spans="1:3">
      <c r="A253">
        <v>229</v>
      </c>
      <c r="B253">
        <v>616126.15818417375</v>
      </c>
      <c r="C253">
        <v>101948.63181582629</v>
      </c>
    </row>
    <row r="254" spans="1:3">
      <c r="A254">
        <v>230</v>
      </c>
      <c r="B254">
        <v>672545.48714033642</v>
      </c>
      <c r="C254">
        <v>128434.2928596636</v>
      </c>
    </row>
    <row r="255" spans="1:3">
      <c r="A255">
        <v>231</v>
      </c>
      <c r="B255">
        <v>686383.76575956109</v>
      </c>
      <c r="C255">
        <v>22601.42424043885</v>
      </c>
    </row>
    <row r="256" spans="1:3">
      <c r="A256">
        <v>232</v>
      </c>
      <c r="B256">
        <v>698797.69921668048</v>
      </c>
      <c r="C256">
        <v>63037.640783319483</v>
      </c>
    </row>
    <row r="257" spans="1:3">
      <c r="A257">
        <v>233</v>
      </c>
      <c r="B257">
        <v>702299.97750468145</v>
      </c>
      <c r="C257">
        <v>109152.74249531853</v>
      </c>
    </row>
    <row r="258" spans="1:3">
      <c r="A258">
        <v>234</v>
      </c>
      <c r="B258">
        <v>647339.62060545047</v>
      </c>
      <c r="C258">
        <v>56473.369394549518</v>
      </c>
    </row>
    <row r="259" spans="1:3">
      <c r="A259">
        <v>235</v>
      </c>
      <c r="B259">
        <v>662248.86265691998</v>
      </c>
      <c r="C259">
        <v>-26411.122656919993</v>
      </c>
    </row>
    <row r="260" spans="1:3">
      <c r="A260">
        <v>236</v>
      </c>
      <c r="B260">
        <v>674808.3099961736</v>
      </c>
      <c r="C260">
        <v>88351.610003826441</v>
      </c>
    </row>
    <row r="261" spans="1:3">
      <c r="A261">
        <v>237</v>
      </c>
      <c r="B261">
        <v>695156.93464512634</v>
      </c>
      <c r="C261">
        <v>-108529.9946451264</v>
      </c>
    </row>
    <row r="262" spans="1:3">
      <c r="A262">
        <v>238</v>
      </c>
      <c r="B262">
        <v>659109.84732829931</v>
      </c>
      <c r="C262">
        <v>-60092.517328299349</v>
      </c>
    </row>
    <row r="263" spans="1:3">
      <c r="A263">
        <v>239</v>
      </c>
      <c r="B263">
        <v>682106.02391177148</v>
      </c>
      <c r="C263">
        <v>-38448.553911771509</v>
      </c>
    </row>
    <row r="264" spans="1:3">
      <c r="A264">
        <v>240</v>
      </c>
      <c r="B264">
        <v>633155.92486809078</v>
      </c>
      <c r="C264">
        <v>-10263.504868090735</v>
      </c>
    </row>
    <row r="265" spans="1:3">
      <c r="A265">
        <v>241</v>
      </c>
      <c r="B265">
        <v>716092.70450764883</v>
      </c>
      <c r="C265">
        <v>-73341.284507648787</v>
      </c>
    </row>
    <row r="266" spans="1:3">
      <c r="A266">
        <v>242</v>
      </c>
      <c r="B266">
        <v>707524.80538790999</v>
      </c>
      <c r="C266">
        <v>-11263.315387909999</v>
      </c>
    </row>
    <row r="267" spans="1:3">
      <c r="A267">
        <v>243</v>
      </c>
      <c r="B267">
        <v>749125.01592046674</v>
      </c>
      <c r="C267">
        <v>-137358.29592046677</v>
      </c>
    </row>
    <row r="268" spans="1:3">
      <c r="A268">
        <v>244</v>
      </c>
      <c r="B268">
        <v>660373.30307440506</v>
      </c>
      <c r="C268">
        <v>27995.1569255949</v>
      </c>
    </row>
    <row r="269" spans="1:3">
      <c r="A269">
        <v>245</v>
      </c>
      <c r="B269">
        <v>641074.85720249999</v>
      </c>
      <c r="C269">
        <v>-197799.26720249996</v>
      </c>
    </row>
    <row r="270" spans="1:3">
      <c r="A270">
        <v>246</v>
      </c>
      <c r="B270">
        <v>672123.14976136887</v>
      </c>
      <c r="C270">
        <v>-78875.89976136887</v>
      </c>
    </row>
    <row r="271" spans="1:3">
      <c r="A271">
        <v>247</v>
      </c>
      <c r="B271">
        <v>676795.18248106167</v>
      </c>
      <c r="C271">
        <v>-97845.3424810617</v>
      </c>
    </row>
    <row r="272" spans="1:3">
      <c r="A272">
        <v>248</v>
      </c>
      <c r="B272">
        <v>671507.42564690276</v>
      </c>
      <c r="C272">
        <v>-125283.72564690281</v>
      </c>
    </row>
    <row r="273" spans="1:3">
      <c r="A273">
        <v>249</v>
      </c>
      <c r="B273">
        <v>734969.66483071737</v>
      </c>
      <c r="C273">
        <v>-91540.814830717398</v>
      </c>
    </row>
    <row r="274" spans="1:3">
      <c r="A274">
        <v>250</v>
      </c>
      <c r="B274">
        <v>685889.10800246848</v>
      </c>
      <c r="C274">
        <v>-5048.7480024684919</v>
      </c>
    </row>
    <row r="275" spans="1:3">
      <c r="A275">
        <v>251</v>
      </c>
      <c r="B275">
        <v>710887.27705565467</v>
      </c>
      <c r="C275">
        <v>-133154.70705565473</v>
      </c>
    </row>
    <row r="276" spans="1:3">
      <c r="A276">
        <v>252</v>
      </c>
      <c r="B276">
        <v>653724.74760591635</v>
      </c>
      <c r="C276">
        <v>67639.362394083641</v>
      </c>
    </row>
    <row r="277" spans="1:3">
      <c r="A277">
        <v>253</v>
      </c>
      <c r="B277">
        <v>692937.04402789334</v>
      </c>
      <c r="C277">
        <v>46894.685972106643</v>
      </c>
    </row>
    <row r="278" spans="1:3">
      <c r="A278">
        <v>254</v>
      </c>
      <c r="B278">
        <v>696282.67075479683</v>
      </c>
      <c r="C278">
        <v>-96679.270754796802</v>
      </c>
    </row>
    <row r="279" spans="1:3">
      <c r="A279">
        <v>255</v>
      </c>
      <c r="B279">
        <v>656544.51829717797</v>
      </c>
      <c r="C279">
        <v>-156371.49829717795</v>
      </c>
    </row>
    <row r="280" spans="1:3">
      <c r="A280">
        <v>256</v>
      </c>
      <c r="B280">
        <v>632342.10765665234</v>
      </c>
      <c r="C280">
        <v>64945.792343347683</v>
      </c>
    </row>
    <row r="281" spans="1:3">
      <c r="A281">
        <v>257</v>
      </c>
      <c r="B281">
        <v>675780.43983746506</v>
      </c>
      <c r="C281">
        <v>-101713.82983746508</v>
      </c>
    </row>
    <row r="282" spans="1:3">
      <c r="A282">
        <v>258</v>
      </c>
      <c r="B282">
        <v>639174.36029289896</v>
      </c>
      <c r="C282">
        <v>-160123.86029289896</v>
      </c>
    </row>
    <row r="283" spans="1:3">
      <c r="A283">
        <v>259</v>
      </c>
      <c r="B283">
        <v>611253.34910259582</v>
      </c>
      <c r="C283">
        <v>-74728.509102595854</v>
      </c>
    </row>
    <row r="284" spans="1:3">
      <c r="A284">
        <v>260</v>
      </c>
      <c r="B284">
        <v>669192.47078704624</v>
      </c>
      <c r="C284">
        <v>-132134.14078704629</v>
      </c>
    </row>
    <row r="285" spans="1:3">
      <c r="A285">
        <v>261</v>
      </c>
      <c r="B285">
        <v>691605.33539253834</v>
      </c>
      <c r="C285">
        <v>-5775.095392538351</v>
      </c>
    </row>
    <row r="286" spans="1:3">
      <c r="A286">
        <v>262</v>
      </c>
      <c r="B286">
        <v>641665.75046864629</v>
      </c>
      <c r="C286">
        <v>30202.839531353675</v>
      </c>
    </row>
    <row r="287" spans="1:3">
      <c r="A287">
        <v>263</v>
      </c>
      <c r="B287">
        <v>647138.24796247354</v>
      </c>
      <c r="C287">
        <v>-87477.407962473575</v>
      </c>
    </row>
    <row r="288" spans="1:3">
      <c r="A288">
        <v>264</v>
      </c>
      <c r="B288">
        <v>631423.77088813577</v>
      </c>
      <c r="C288">
        <v>-34454.50088813575</v>
      </c>
    </row>
    <row r="289" spans="1:3">
      <c r="A289">
        <v>265</v>
      </c>
      <c r="B289">
        <v>634825.36285464838</v>
      </c>
      <c r="C289">
        <v>-79267.592854648363</v>
      </c>
    </row>
    <row r="290" spans="1:3">
      <c r="A290">
        <v>266</v>
      </c>
      <c r="B290">
        <v>608294.4106636761</v>
      </c>
      <c r="C290">
        <v>-9389.5106636760756</v>
      </c>
    </row>
    <row r="291" spans="1:3">
      <c r="A291">
        <v>267</v>
      </c>
      <c r="B291">
        <v>602016.69944273389</v>
      </c>
      <c r="C291">
        <v>-83967.439442733885</v>
      </c>
    </row>
    <row r="292" spans="1:3">
      <c r="A292">
        <v>268</v>
      </c>
      <c r="B292">
        <v>649034.2088766268</v>
      </c>
      <c r="C292">
        <v>1445.851123373257</v>
      </c>
    </row>
    <row r="293" spans="1:3">
      <c r="A293">
        <v>269</v>
      </c>
      <c r="B293">
        <v>697292.23853034736</v>
      </c>
      <c r="C293">
        <v>-46496.748530347366</v>
      </c>
    </row>
    <row r="294" spans="1:3">
      <c r="A294">
        <v>270</v>
      </c>
      <c r="B294">
        <v>709933.46156218043</v>
      </c>
      <c r="C294">
        <v>74569.218437819625</v>
      </c>
    </row>
    <row r="295" spans="1:3">
      <c r="A295">
        <v>271</v>
      </c>
      <c r="B295">
        <v>790707.99818862334</v>
      </c>
      <c r="C295">
        <v>156125.54181137669</v>
      </c>
    </row>
    <row r="296" spans="1:3">
      <c r="A296">
        <v>272</v>
      </c>
      <c r="B296">
        <v>679430.51065320079</v>
      </c>
      <c r="C296">
        <v>47175.769346799236</v>
      </c>
    </row>
    <row r="297" spans="1:3">
      <c r="A297">
        <v>273</v>
      </c>
      <c r="B297">
        <v>682993.75868283061</v>
      </c>
      <c r="C297">
        <v>-3762.8986828306224</v>
      </c>
    </row>
    <row r="298" spans="1:3">
      <c r="A298">
        <v>274</v>
      </c>
      <c r="B298">
        <v>659792.8021358574</v>
      </c>
      <c r="C298">
        <v>61286.547864142573</v>
      </c>
    </row>
    <row r="299" spans="1:3">
      <c r="A299">
        <v>275</v>
      </c>
      <c r="B299">
        <v>717880.18485461466</v>
      </c>
      <c r="C299">
        <v>81597.575145385345</v>
      </c>
    </row>
    <row r="300" spans="1:3">
      <c r="A300">
        <v>276</v>
      </c>
      <c r="B300">
        <v>687286.2158961338</v>
      </c>
      <c r="C300">
        <v>-186987.73589613382</v>
      </c>
    </row>
    <row r="301" spans="1:3">
      <c r="A301">
        <v>277</v>
      </c>
      <c r="B301">
        <v>663840.54984826711</v>
      </c>
      <c r="C301">
        <v>-106353.2898482671</v>
      </c>
    </row>
    <row r="302" spans="1:3">
      <c r="A302">
        <v>278</v>
      </c>
      <c r="B302">
        <v>717388.42331996758</v>
      </c>
      <c r="C302">
        <v>6142.9766800324433</v>
      </c>
    </row>
    <row r="303" spans="1:3">
      <c r="A303">
        <v>279</v>
      </c>
      <c r="B303">
        <v>690008.60110766476</v>
      </c>
      <c r="C303">
        <v>-38844.421107664704</v>
      </c>
    </row>
    <row r="304" spans="1:3">
      <c r="A304">
        <v>280</v>
      </c>
      <c r="B304">
        <v>651104.28386956383</v>
      </c>
      <c r="C304">
        <v>33113.036130436114</v>
      </c>
    </row>
    <row r="305" spans="1:3">
      <c r="A305">
        <v>281</v>
      </c>
      <c r="B305">
        <v>710676.25743644382</v>
      </c>
      <c r="C305">
        <v>-51843.637436443823</v>
      </c>
    </row>
    <row r="306" spans="1:3">
      <c r="A306">
        <v>282</v>
      </c>
      <c r="B306">
        <v>710435.9774522318</v>
      </c>
      <c r="C306">
        <v>-183135.8474522318</v>
      </c>
    </row>
    <row r="307" spans="1:3">
      <c r="A307">
        <v>283</v>
      </c>
      <c r="B307">
        <v>633790.28276667325</v>
      </c>
      <c r="C307">
        <v>89270.477233326761</v>
      </c>
    </row>
    <row r="308" spans="1:3">
      <c r="A308">
        <v>284</v>
      </c>
      <c r="B308">
        <v>677831.96622929873</v>
      </c>
      <c r="C308">
        <v>-123819.89622929879</v>
      </c>
    </row>
    <row r="309" spans="1:3">
      <c r="A309">
        <v>285</v>
      </c>
      <c r="B309">
        <v>619997.85390425171</v>
      </c>
      <c r="C309">
        <v>-132532.94390425173</v>
      </c>
    </row>
    <row r="310" spans="1:3">
      <c r="A310">
        <v>286</v>
      </c>
      <c r="B310">
        <v>623269.58436728781</v>
      </c>
      <c r="C310">
        <v>-29926.584367287811</v>
      </c>
    </row>
    <row r="311" spans="1:3">
      <c r="A311">
        <v>287</v>
      </c>
      <c r="B311">
        <v>638059.80445369834</v>
      </c>
      <c r="C311">
        <v>-25669.664453698322</v>
      </c>
    </row>
    <row r="312" spans="1:3">
      <c r="A312">
        <v>288</v>
      </c>
      <c r="B312">
        <v>640262.1047787253</v>
      </c>
      <c r="C312">
        <v>-69298.794778725249</v>
      </c>
    </row>
    <row r="313" spans="1:3">
      <c r="A313">
        <v>289</v>
      </c>
      <c r="B313">
        <v>630700.84395167883</v>
      </c>
      <c r="C313">
        <v>-37063.703951678821</v>
      </c>
    </row>
    <row r="314" spans="1:3">
      <c r="A314">
        <v>290</v>
      </c>
      <c r="B314">
        <v>658610.86653329176</v>
      </c>
      <c r="C314">
        <v>-133711.29653329181</v>
      </c>
    </row>
    <row r="315" spans="1:3">
      <c r="A315">
        <v>291</v>
      </c>
      <c r="B315">
        <v>664600.36102939793</v>
      </c>
      <c r="C315">
        <v>-3966.3710293979384</v>
      </c>
    </row>
    <row r="316" spans="1:3">
      <c r="A316">
        <v>292</v>
      </c>
      <c r="B316">
        <v>607780.56543288194</v>
      </c>
      <c r="C316">
        <v>-206948.91543288191</v>
      </c>
    </row>
    <row r="317" spans="1:3">
      <c r="A317">
        <v>293</v>
      </c>
      <c r="B317">
        <v>654257.46087411291</v>
      </c>
      <c r="C317">
        <v>-144772.65087411291</v>
      </c>
    </row>
    <row r="318" spans="1:3">
      <c r="A318">
        <v>294</v>
      </c>
      <c r="B318">
        <v>649490.4277990564</v>
      </c>
      <c r="C318">
        <v>-200025.3677990564</v>
      </c>
    </row>
    <row r="319" spans="1:3">
      <c r="A319">
        <v>295</v>
      </c>
      <c r="B319">
        <v>680914.84595228417</v>
      </c>
      <c r="C319">
        <v>-4997.2159522841685</v>
      </c>
    </row>
    <row r="320" spans="1:3">
      <c r="A320">
        <v>296</v>
      </c>
      <c r="B320">
        <v>723933.3110615093</v>
      </c>
      <c r="C320">
        <v>-103669.11106150935</v>
      </c>
    </row>
    <row r="321" spans="1:3">
      <c r="A321">
        <v>297</v>
      </c>
      <c r="B321">
        <v>709456.52187181346</v>
      </c>
      <c r="C321">
        <v>-281539.14187181345</v>
      </c>
    </row>
    <row r="322" spans="1:3">
      <c r="A322">
        <v>298</v>
      </c>
      <c r="B322">
        <v>814006.16984930111</v>
      </c>
      <c r="C322">
        <v>-196715.01984930108</v>
      </c>
    </row>
    <row r="323" spans="1:3">
      <c r="A323">
        <v>299</v>
      </c>
      <c r="B323">
        <v>663875.70913692564</v>
      </c>
      <c r="C323">
        <v>77465.730863074306</v>
      </c>
    </row>
    <row r="324" spans="1:3">
      <c r="A324">
        <v>300</v>
      </c>
      <c r="B324">
        <v>692351.2617425333</v>
      </c>
      <c r="C324">
        <v>-19274.921742533334</v>
      </c>
    </row>
    <row r="325" spans="1:3">
      <c r="A325">
        <v>301</v>
      </c>
      <c r="B325">
        <v>706867.53325880261</v>
      </c>
      <c r="C325">
        <v>-195023.12325880263</v>
      </c>
    </row>
    <row r="326" spans="1:3">
      <c r="A326">
        <v>302</v>
      </c>
      <c r="B326">
        <v>712660.06333286013</v>
      </c>
      <c r="C326">
        <v>-79022.033332860097</v>
      </c>
    </row>
    <row r="327" spans="1:3">
      <c r="A327">
        <v>303</v>
      </c>
      <c r="B327">
        <v>675269.53342062305</v>
      </c>
      <c r="C327">
        <v>-44439.593420623103</v>
      </c>
    </row>
    <row r="328" spans="1:3">
      <c r="A328">
        <v>304</v>
      </c>
      <c r="B328">
        <v>688385.22583544301</v>
      </c>
      <c r="C328">
        <v>-9663.1658354429528</v>
      </c>
    </row>
    <row r="329" spans="1:3">
      <c r="A329">
        <v>305</v>
      </c>
      <c r="B329">
        <v>635745.27550890727</v>
      </c>
      <c r="C329">
        <v>-28660.355508907232</v>
      </c>
    </row>
    <row r="330" spans="1:3">
      <c r="A330">
        <v>306</v>
      </c>
      <c r="B330">
        <v>927949.18293500808</v>
      </c>
      <c r="C330">
        <v>-127497.24293500814</v>
      </c>
    </row>
    <row r="331" spans="1:3">
      <c r="A331">
        <v>307</v>
      </c>
      <c r="B331">
        <v>601374.46211543935</v>
      </c>
      <c r="C331">
        <v>-160099.04211543937</v>
      </c>
    </row>
    <row r="332" spans="1:3">
      <c r="A332">
        <v>308</v>
      </c>
      <c r="B332">
        <v>694833.47344861866</v>
      </c>
      <c r="C332">
        <v>-3545.2834486187203</v>
      </c>
    </row>
    <row r="333" spans="1:3">
      <c r="A333">
        <v>309</v>
      </c>
      <c r="B333">
        <v>654112.13865375821</v>
      </c>
      <c r="C333">
        <v>-19676.138653758215</v>
      </c>
    </row>
    <row r="334" spans="1:3">
      <c r="A334">
        <v>310</v>
      </c>
      <c r="B334">
        <v>668822.6913271636</v>
      </c>
      <c r="C334">
        <v>56412.588672836428</v>
      </c>
    </row>
    <row r="335" spans="1:3">
      <c r="A335">
        <v>311</v>
      </c>
      <c r="B335">
        <v>612660.14656400168</v>
      </c>
      <c r="C335">
        <v>-211077.56656400167</v>
      </c>
    </row>
    <row r="336" spans="1:3">
      <c r="A336">
        <v>312</v>
      </c>
      <c r="B336">
        <v>625423.33037484577</v>
      </c>
      <c r="C336">
        <v>-209701.51037484576</v>
      </c>
    </row>
    <row r="337" spans="1:3">
      <c r="A337">
        <v>313</v>
      </c>
      <c r="B337">
        <v>673542.87374501314</v>
      </c>
      <c r="C337">
        <v>-119786.44374501309</v>
      </c>
    </row>
    <row r="338" spans="1:3">
      <c r="A338">
        <v>314</v>
      </c>
      <c r="B338">
        <v>673677.76104626269</v>
      </c>
      <c r="C338">
        <v>-210143.51104626269</v>
      </c>
    </row>
    <row r="339" spans="1:3">
      <c r="A339">
        <v>315</v>
      </c>
      <c r="B339">
        <v>862198.05489334674</v>
      </c>
      <c r="C339">
        <v>-235026.15489334671</v>
      </c>
    </row>
    <row r="340" spans="1:3">
      <c r="A340">
        <v>316</v>
      </c>
      <c r="B340">
        <v>659049.2396144761</v>
      </c>
      <c r="C340">
        <v>-120673.2396144761</v>
      </c>
    </row>
    <row r="341" spans="1:3">
      <c r="A341">
        <v>317</v>
      </c>
      <c r="B341">
        <v>677047.53715738107</v>
      </c>
      <c r="C341">
        <v>-35182.507157381042</v>
      </c>
    </row>
    <row r="342" spans="1:3">
      <c r="A342">
        <v>318</v>
      </c>
      <c r="B342">
        <v>681857.8219073409</v>
      </c>
      <c r="C342">
        <v>-22937.521907340852</v>
      </c>
    </row>
    <row r="343" spans="1:3">
      <c r="A343">
        <v>319</v>
      </c>
      <c r="B343">
        <v>856480.61364534008</v>
      </c>
      <c r="C343">
        <v>-261013.01364534011</v>
      </c>
    </row>
    <row r="344" spans="1:3" ht="15" thickBot="1">
      <c r="A344" s="5">
        <v>320</v>
      </c>
      <c r="B344" s="5">
        <v>729750.84234991262</v>
      </c>
      <c r="C344" s="5">
        <v>-44371.762349912664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DB4AB-4DE0-4646-81EA-285580F9DF40}">
  <dimension ref="A1:I344"/>
  <sheetViews>
    <sheetView zoomScale="70" zoomScaleNormal="70" workbookViewId="0">
      <selection activeCell="T9" sqref="T9"/>
    </sheetView>
  </sheetViews>
  <sheetFormatPr defaultRowHeight="14.5"/>
  <cols>
    <col min="1" max="1" width="19.26953125" customWidth="1"/>
    <col min="2" max="2" width="22.36328125" customWidth="1"/>
    <col min="3" max="3" width="14.453125" customWidth="1"/>
    <col min="4" max="4" width="18.26953125" customWidth="1"/>
    <col min="5" max="6" width="17.26953125" customWidth="1"/>
    <col min="7" max="7" width="19.54296875" customWidth="1"/>
    <col min="8" max="8" width="15.453125" customWidth="1"/>
    <col min="9" max="9" width="15" customWidth="1"/>
  </cols>
  <sheetData>
    <row r="1" spans="1:9">
      <c r="A1" t="s">
        <v>105</v>
      </c>
    </row>
    <row r="2" spans="1:9" ht="15" thickBot="1"/>
    <row r="3" spans="1:9">
      <c r="A3" s="7" t="s">
        <v>106</v>
      </c>
      <c r="B3" s="7"/>
    </row>
    <row r="4" spans="1:9">
      <c r="A4" t="s">
        <v>107</v>
      </c>
      <c r="B4">
        <v>0.85807070804410468</v>
      </c>
    </row>
    <row r="5" spans="1:9">
      <c r="A5" t="s">
        <v>108</v>
      </c>
      <c r="B5">
        <v>0.73628534000331114</v>
      </c>
    </row>
    <row r="6" spans="1:9">
      <c r="A6" t="s">
        <v>109</v>
      </c>
      <c r="B6">
        <v>0.73545604861967373</v>
      </c>
    </row>
    <row r="7" spans="1:9">
      <c r="A7" t="s">
        <v>110</v>
      </c>
      <c r="B7">
        <v>53373.736380790499</v>
      </c>
    </row>
    <row r="8" spans="1:9" ht="15" thickBot="1">
      <c r="A8" s="5" t="s">
        <v>111</v>
      </c>
      <c r="B8" s="5">
        <v>320</v>
      </c>
    </row>
    <row r="10" spans="1:9" ht="15" thickBot="1">
      <c r="A10" t="s">
        <v>112</v>
      </c>
    </row>
    <row r="11" spans="1:9">
      <c r="A11" s="6"/>
      <c r="B11" s="6" t="s">
        <v>117</v>
      </c>
      <c r="C11" s="6" t="s">
        <v>118</v>
      </c>
      <c r="D11" s="6" t="s">
        <v>119</v>
      </c>
      <c r="E11" s="6" t="s">
        <v>120</v>
      </c>
      <c r="F11" s="6" t="s">
        <v>121</v>
      </c>
    </row>
    <row r="12" spans="1:9">
      <c r="A12" t="s">
        <v>113</v>
      </c>
      <c r="B12">
        <v>1</v>
      </c>
      <c r="C12">
        <v>2529264292982.4727</v>
      </c>
      <c r="D12">
        <v>2529264292982.4727</v>
      </c>
      <c r="E12">
        <v>887.84877611275999</v>
      </c>
      <c r="F12">
        <v>4.7503615090054677E-94</v>
      </c>
    </row>
    <row r="13" spans="1:9">
      <c r="A13" t="s">
        <v>114</v>
      </c>
      <c r="B13">
        <v>318</v>
      </c>
      <c r="C13">
        <v>905904323808.26587</v>
      </c>
      <c r="D13">
        <v>2848755735.246119</v>
      </c>
    </row>
    <row r="14" spans="1:9" ht="15" thickBot="1">
      <c r="A14" s="5" t="s">
        <v>115</v>
      </c>
      <c r="B14" s="5">
        <v>319</v>
      </c>
      <c r="C14" s="5">
        <v>3435168616790.7383</v>
      </c>
      <c r="D14" s="5"/>
      <c r="E14" s="5"/>
      <c r="F14" s="5"/>
    </row>
    <row r="15" spans="1:9" ht="15" thickBot="1"/>
    <row r="16" spans="1:9">
      <c r="A16" s="6"/>
      <c r="B16" s="6" t="s">
        <v>122</v>
      </c>
      <c r="C16" s="6" t="s">
        <v>110</v>
      </c>
      <c r="D16" s="6" t="s">
        <v>123</v>
      </c>
      <c r="E16" s="6" t="s">
        <v>124</v>
      </c>
      <c r="F16" s="6" t="s">
        <v>125</v>
      </c>
      <c r="G16" s="6" t="s">
        <v>126</v>
      </c>
      <c r="H16" s="6" t="s">
        <v>127</v>
      </c>
      <c r="I16" s="6" t="s">
        <v>128</v>
      </c>
    </row>
    <row r="17" spans="1:9">
      <c r="A17" t="s">
        <v>116</v>
      </c>
      <c r="B17">
        <v>446410.58293395379</v>
      </c>
      <c r="C17">
        <v>8407.7382630059983</v>
      </c>
      <c r="D17">
        <v>53.095204556754325</v>
      </c>
      <c r="E17">
        <v>4.0862695711507219E-160</v>
      </c>
      <c r="F17">
        <v>429868.76191129821</v>
      </c>
      <c r="G17">
        <v>462952.40395660937</v>
      </c>
      <c r="H17">
        <v>429868.76191129821</v>
      </c>
      <c r="I17">
        <v>462952.40395660937</v>
      </c>
    </row>
    <row r="18" spans="1:9" ht="15" thickBot="1">
      <c r="A18" s="5" t="s">
        <v>5</v>
      </c>
      <c r="B18" s="5">
        <v>35.678031072640458</v>
      </c>
      <c r="C18" s="5">
        <v>1.1973782890340823</v>
      </c>
      <c r="D18" s="5">
        <v>29.796791372776358</v>
      </c>
      <c r="E18" s="5">
        <v>4.7503615090057386E-94</v>
      </c>
      <c r="F18" s="5">
        <v>33.322246825554025</v>
      </c>
      <c r="G18" s="5">
        <v>38.033815319726891</v>
      </c>
      <c r="H18" s="5">
        <v>33.322246825554025</v>
      </c>
      <c r="I18" s="5">
        <v>38.033815319726891</v>
      </c>
    </row>
    <row r="22" spans="1:9">
      <c r="A22" t="s">
        <v>129</v>
      </c>
    </row>
    <row r="23" spans="1:9" ht="15" thickBot="1"/>
    <row r="24" spans="1:9">
      <c r="A24" s="6" t="s">
        <v>130</v>
      </c>
      <c r="B24" s="6" t="s">
        <v>131</v>
      </c>
      <c r="C24" s="6" t="s">
        <v>132</v>
      </c>
    </row>
    <row r="25" spans="1:9">
      <c r="A25">
        <v>1</v>
      </c>
      <c r="B25">
        <v>591370.42318209191</v>
      </c>
      <c r="C25">
        <v>122240.73681790812</v>
      </c>
    </row>
    <row r="26" spans="1:9">
      <c r="A26">
        <v>2</v>
      </c>
      <c r="B26">
        <v>532537.34994330781</v>
      </c>
      <c r="C26">
        <v>92976.690056692227</v>
      </c>
    </row>
    <row r="27" spans="1:9">
      <c r="A27">
        <v>3</v>
      </c>
      <c r="B27">
        <v>747319.09700060333</v>
      </c>
      <c r="C27">
        <v>73199.942999396706</v>
      </c>
    </row>
    <row r="28" spans="1:9">
      <c r="A28">
        <v>4</v>
      </c>
      <c r="B28">
        <v>630152.44295805215</v>
      </c>
      <c r="C28">
        <v>105356.95704194787</v>
      </c>
    </row>
    <row r="29" spans="1:9">
      <c r="A29">
        <v>5</v>
      </c>
      <c r="B29">
        <v>612099.35923529603</v>
      </c>
      <c r="C29">
        <v>115142.50076470396</v>
      </c>
    </row>
    <row r="30" spans="1:9">
      <c r="A30">
        <v>6</v>
      </c>
      <c r="B30">
        <v>737721.7066420631</v>
      </c>
      <c r="C30">
        <v>102386.41335793689</v>
      </c>
    </row>
    <row r="31" spans="1:9">
      <c r="A31">
        <v>7</v>
      </c>
      <c r="B31">
        <v>674357.5234570537</v>
      </c>
      <c r="C31">
        <v>113357.98654294631</v>
      </c>
    </row>
    <row r="32" spans="1:9">
      <c r="A32">
        <v>8</v>
      </c>
      <c r="B32">
        <v>696691.97090852656</v>
      </c>
      <c r="C32">
        <v>27524.099091473385</v>
      </c>
    </row>
    <row r="33" spans="1:3">
      <c r="A33">
        <v>9</v>
      </c>
      <c r="B33">
        <v>645315.60616392433</v>
      </c>
      <c r="C33">
        <v>90471.033836075687</v>
      </c>
    </row>
    <row r="34" spans="1:3">
      <c r="A34">
        <v>10</v>
      </c>
      <c r="B34">
        <v>730764.49058289826</v>
      </c>
      <c r="C34">
        <v>107485.82941710169</v>
      </c>
    </row>
    <row r="35" spans="1:3">
      <c r="A35">
        <v>11</v>
      </c>
      <c r="B35">
        <v>605213.4992382765</v>
      </c>
      <c r="C35">
        <v>76994.510761723504</v>
      </c>
    </row>
    <row r="36" spans="1:3">
      <c r="A36">
        <v>12</v>
      </c>
      <c r="B36">
        <v>738363.91120137065</v>
      </c>
      <c r="C36">
        <v>42217.038798629306</v>
      </c>
    </row>
    <row r="37" spans="1:3">
      <c r="A37">
        <v>13</v>
      </c>
      <c r="B37">
        <v>636253.38627147372</v>
      </c>
      <c r="C37">
        <v>87051.723728526267</v>
      </c>
    </row>
    <row r="38" spans="1:3">
      <c r="A38">
        <v>14</v>
      </c>
      <c r="B38">
        <v>742538.24083686958</v>
      </c>
      <c r="C38">
        <v>70778.469163130387</v>
      </c>
    </row>
    <row r="39" spans="1:3">
      <c r="A39">
        <v>15</v>
      </c>
      <c r="B39">
        <v>657018.00035575044</v>
      </c>
      <c r="C39">
        <v>106144.44964424951</v>
      </c>
    </row>
    <row r="40" spans="1:3">
      <c r="A40">
        <v>16</v>
      </c>
      <c r="B40">
        <v>695871.37619385589</v>
      </c>
      <c r="C40">
        <v>99282.463806144078</v>
      </c>
    </row>
    <row r="41" spans="1:3">
      <c r="A41">
        <v>17</v>
      </c>
      <c r="B41">
        <v>656661.22004502406</v>
      </c>
      <c r="C41">
        <v>30076.649954975932</v>
      </c>
    </row>
    <row r="42" spans="1:3">
      <c r="A42">
        <v>18</v>
      </c>
      <c r="B42">
        <v>817319.39396512392</v>
      </c>
      <c r="C42">
        <v>97224.776034876122</v>
      </c>
    </row>
    <row r="43" spans="1:3">
      <c r="A43">
        <v>19</v>
      </c>
      <c r="B43">
        <v>583663.9684704016</v>
      </c>
      <c r="C43">
        <v>37309.061529598432</v>
      </c>
    </row>
    <row r="44" spans="1:3">
      <c r="A44">
        <v>20</v>
      </c>
      <c r="B44">
        <v>691019.16396797681</v>
      </c>
      <c r="C44">
        <v>108027.77603202313</v>
      </c>
    </row>
    <row r="45" spans="1:3">
      <c r="A45">
        <v>21</v>
      </c>
      <c r="B45">
        <v>727375.0776309974</v>
      </c>
      <c r="C45">
        <v>68089.392369002569</v>
      </c>
    </row>
    <row r="46" spans="1:3">
      <c r="A46">
        <v>22</v>
      </c>
      <c r="B46">
        <v>695871.37619385589</v>
      </c>
      <c r="C46">
        <v>82427.503806144116</v>
      </c>
    </row>
    <row r="47" spans="1:3">
      <c r="A47">
        <v>23</v>
      </c>
      <c r="B47">
        <v>784959.41978223901</v>
      </c>
      <c r="C47">
        <v>88420.600217761006</v>
      </c>
    </row>
    <row r="48" spans="1:3">
      <c r="A48">
        <v>24</v>
      </c>
      <c r="B48">
        <v>689235.2624143447</v>
      </c>
      <c r="C48">
        <v>98852.417585655348</v>
      </c>
    </row>
    <row r="49" spans="1:3">
      <c r="A49">
        <v>25</v>
      </c>
      <c r="B49">
        <v>766299.80953124817</v>
      </c>
      <c r="C49">
        <v>12098.160468751797</v>
      </c>
    </row>
    <row r="50" spans="1:3">
      <c r="A50">
        <v>26</v>
      </c>
      <c r="B50">
        <v>623730.39736497682</v>
      </c>
      <c r="C50">
        <v>67717.032635023235</v>
      </c>
    </row>
    <row r="51" spans="1:3">
      <c r="A51">
        <v>27</v>
      </c>
      <c r="B51">
        <v>677497.19019144611</v>
      </c>
      <c r="C51">
        <v>75976.359808553942</v>
      </c>
    </row>
    <row r="52" spans="1:3">
      <c r="A52">
        <v>28</v>
      </c>
      <c r="B52">
        <v>725983.63441916439</v>
      </c>
      <c r="C52">
        <v>50126.685580835561</v>
      </c>
    </row>
    <row r="53" spans="1:3">
      <c r="A53">
        <v>29</v>
      </c>
      <c r="B53">
        <v>566288.76733802573</v>
      </c>
      <c r="C53">
        <v>91140.412661974318</v>
      </c>
    </row>
    <row r="54" spans="1:3">
      <c r="A54">
        <v>30</v>
      </c>
      <c r="B54">
        <v>576349.97210051038</v>
      </c>
      <c r="C54">
        <v>58831.377899489598</v>
      </c>
    </row>
    <row r="55" spans="1:3">
      <c r="A55">
        <v>31</v>
      </c>
      <c r="B55">
        <v>712925.4750465781</v>
      </c>
      <c r="C55">
        <v>63996.694953421946</v>
      </c>
    </row>
    <row r="56" spans="1:3">
      <c r="A56">
        <v>32</v>
      </c>
      <c r="B56">
        <v>621304.29125203728</v>
      </c>
      <c r="C56">
        <v>56336.358747962746</v>
      </c>
    </row>
    <row r="57" spans="1:3">
      <c r="A57">
        <v>33</v>
      </c>
      <c r="B57">
        <v>634826.26502856798</v>
      </c>
      <c r="C57">
        <v>40351.414971432067</v>
      </c>
    </row>
    <row r="58" spans="1:3">
      <c r="A58">
        <v>34</v>
      </c>
      <c r="B58">
        <v>732477.03607438505</v>
      </c>
      <c r="C58">
        <v>6897.5239256150089</v>
      </c>
    </row>
    <row r="59" spans="1:3">
      <c r="A59">
        <v>35</v>
      </c>
      <c r="B59">
        <v>679530.83796258655</v>
      </c>
      <c r="C59">
        <v>48426.642037413432</v>
      </c>
    </row>
    <row r="60" spans="1:3">
      <c r="A60">
        <v>36</v>
      </c>
      <c r="B60">
        <v>761733.02155395015</v>
      </c>
      <c r="C60">
        <v>58860.9084460499</v>
      </c>
    </row>
    <row r="61" spans="1:3">
      <c r="A61">
        <v>37</v>
      </c>
      <c r="B61">
        <v>752064.2751332646</v>
      </c>
      <c r="C61">
        <v>98099.984866735409</v>
      </c>
    </row>
    <row r="62" spans="1:3">
      <c r="A62">
        <v>38</v>
      </c>
      <c r="B62">
        <v>679887.61827331292</v>
      </c>
      <c r="C62">
        <v>78940.02172668709</v>
      </c>
    </row>
    <row r="63" spans="1:3">
      <c r="A63">
        <v>39</v>
      </c>
      <c r="B63">
        <v>635718.2158053841</v>
      </c>
      <c r="C63">
        <v>113841.49419461587</v>
      </c>
    </row>
    <row r="64" spans="1:3">
      <c r="A64">
        <v>40</v>
      </c>
      <c r="B64">
        <v>803155.21562928567</v>
      </c>
      <c r="C64">
        <v>94875.82437071437</v>
      </c>
    </row>
    <row r="65" spans="1:3">
      <c r="A65">
        <v>41</v>
      </c>
      <c r="B65">
        <v>787992.05242341361</v>
      </c>
      <c r="C65">
        <v>54165.867576586432</v>
      </c>
    </row>
    <row r="66" spans="1:3">
      <c r="A66">
        <v>42</v>
      </c>
      <c r="B66">
        <v>675713.288637814</v>
      </c>
      <c r="C66">
        <v>40177.241362186032</v>
      </c>
    </row>
    <row r="67" spans="1:3">
      <c r="A67">
        <v>43</v>
      </c>
      <c r="B67">
        <v>729158.9791846294</v>
      </c>
      <c r="C67">
        <v>54423.020815370604</v>
      </c>
    </row>
    <row r="68" spans="1:3">
      <c r="A68">
        <v>44</v>
      </c>
      <c r="B68">
        <v>782212.2113896457</v>
      </c>
      <c r="C68">
        <v>22763.288610354299</v>
      </c>
    </row>
    <row r="69" spans="1:3">
      <c r="A69">
        <v>45</v>
      </c>
      <c r="B69">
        <v>779036.86662418069</v>
      </c>
      <c r="C69">
        <v>46761.043375819339</v>
      </c>
    </row>
    <row r="70" spans="1:3">
      <c r="A70">
        <v>46</v>
      </c>
      <c r="B70">
        <v>598541.70742769272</v>
      </c>
      <c r="C70">
        <v>59530.432572307298</v>
      </c>
    </row>
    <row r="71" spans="1:3">
      <c r="A71">
        <v>47</v>
      </c>
      <c r="B71">
        <v>578454.97593379614</v>
      </c>
      <c r="C71">
        <v>7852.244066203828</v>
      </c>
    </row>
    <row r="72" spans="1:3">
      <c r="A72">
        <v>48</v>
      </c>
      <c r="B72">
        <v>702899.94831516605</v>
      </c>
      <c r="C72">
        <v>70915.191684833961</v>
      </c>
    </row>
    <row r="73" spans="1:3">
      <c r="A73">
        <v>49</v>
      </c>
      <c r="B73">
        <v>657303.42460433149</v>
      </c>
      <c r="C73">
        <v>68544.565395668498</v>
      </c>
    </row>
    <row r="74" spans="1:3">
      <c r="A74">
        <v>50</v>
      </c>
      <c r="B74">
        <v>690162.89122223342</v>
      </c>
      <c r="C74">
        <v>49939.748777766596</v>
      </c>
    </row>
    <row r="75" spans="1:3">
      <c r="A75">
        <v>51</v>
      </c>
      <c r="B75">
        <v>678888.633403279</v>
      </c>
      <c r="C75">
        <v>87018.31659672095</v>
      </c>
    </row>
    <row r="76" spans="1:3">
      <c r="A76">
        <v>52</v>
      </c>
      <c r="B76">
        <v>838119.68608047336</v>
      </c>
      <c r="C76">
        <v>92462.013919526595</v>
      </c>
    </row>
    <row r="77" spans="1:3">
      <c r="A77">
        <v>53</v>
      </c>
      <c r="B77">
        <v>656447.15185858821</v>
      </c>
      <c r="C77">
        <v>90230.598141411785</v>
      </c>
    </row>
    <row r="78" spans="1:3">
      <c r="A78">
        <v>54</v>
      </c>
      <c r="B78">
        <v>671217.85672266129</v>
      </c>
      <c r="C78">
        <v>-5875.3667226613034</v>
      </c>
    </row>
    <row r="79" spans="1:3">
      <c r="A79">
        <v>55</v>
      </c>
      <c r="B79">
        <v>644423.65538710833</v>
      </c>
      <c r="C79">
        <v>52320.494612891693</v>
      </c>
    </row>
    <row r="80" spans="1:3">
      <c r="A80">
        <v>56</v>
      </c>
      <c r="B80">
        <v>574673.10464009619</v>
      </c>
      <c r="C80">
        <v>87254.035359903821</v>
      </c>
    </row>
    <row r="81" spans="1:3">
      <c r="A81">
        <v>57</v>
      </c>
      <c r="B81">
        <v>643210.60233063856</v>
      </c>
      <c r="C81">
        <v>77641.897669361439</v>
      </c>
    </row>
    <row r="82" spans="1:3">
      <c r="A82">
        <v>58</v>
      </c>
      <c r="B82">
        <v>716635.99027813261</v>
      </c>
      <c r="C82">
        <v>-18747.900278132642</v>
      </c>
    </row>
    <row r="83" spans="1:3">
      <c r="A83">
        <v>59</v>
      </c>
      <c r="B83">
        <v>766121.41937588493</v>
      </c>
      <c r="C83">
        <v>104815.98062411509</v>
      </c>
    </row>
    <row r="84" spans="1:3">
      <c r="A84">
        <v>60</v>
      </c>
      <c r="B84">
        <v>659123.0041890362</v>
      </c>
      <c r="C84">
        <v>31989.595810963772</v>
      </c>
    </row>
    <row r="85" spans="1:3">
      <c r="A85">
        <v>61</v>
      </c>
      <c r="B85">
        <v>765693.28300301323</v>
      </c>
      <c r="C85">
        <v>4009.4769969867775</v>
      </c>
    </row>
    <row r="86" spans="1:3">
      <c r="A86">
        <v>62</v>
      </c>
      <c r="B86">
        <v>573388.69552148122</v>
      </c>
      <c r="C86">
        <v>-4287.9155214811908</v>
      </c>
    </row>
    <row r="87" spans="1:3">
      <c r="A87">
        <v>63</v>
      </c>
      <c r="B87">
        <v>586553.88898728555</v>
      </c>
      <c r="C87">
        <v>29412.591012714431</v>
      </c>
    </row>
    <row r="88" spans="1:3">
      <c r="A88">
        <v>64</v>
      </c>
      <c r="B88">
        <v>660050.63299692492</v>
      </c>
      <c r="C88">
        <v>79801.947003075038</v>
      </c>
    </row>
    <row r="89" spans="1:3">
      <c r="A89">
        <v>65</v>
      </c>
      <c r="B89">
        <v>697013.07318818034</v>
      </c>
      <c r="C89">
        <v>14200.386811819626</v>
      </c>
    </row>
    <row r="90" spans="1:3">
      <c r="A90">
        <v>66</v>
      </c>
      <c r="B90">
        <v>669184.20895152085</v>
      </c>
      <c r="C90">
        <v>74164.631048479117</v>
      </c>
    </row>
    <row r="91" spans="1:3">
      <c r="A91">
        <v>67</v>
      </c>
      <c r="B91">
        <v>802013.51863496122</v>
      </c>
      <c r="C91">
        <v>42697.151365038822</v>
      </c>
    </row>
    <row r="92" spans="1:3">
      <c r="A92">
        <v>68</v>
      </c>
      <c r="B92">
        <v>682599.14863483363</v>
      </c>
      <c r="C92">
        <v>79261.041365166311</v>
      </c>
    </row>
    <row r="93" spans="1:3">
      <c r="A93">
        <v>69</v>
      </c>
      <c r="B93">
        <v>644744.7576667621</v>
      </c>
      <c r="C93">
        <v>-41447.187666762155</v>
      </c>
    </row>
    <row r="94" spans="1:3">
      <c r="A94">
        <v>70</v>
      </c>
      <c r="B94">
        <v>642390.00761596789</v>
      </c>
      <c r="C94">
        <v>21772.482384032104</v>
      </c>
    </row>
    <row r="95" spans="1:3">
      <c r="A95">
        <v>71</v>
      </c>
      <c r="B95">
        <v>495467.87565883441</v>
      </c>
      <c r="C95">
        <v>34131.064341165533</v>
      </c>
    </row>
    <row r="96" spans="1:3">
      <c r="A96">
        <v>72</v>
      </c>
      <c r="B96">
        <v>785530.26827940135</v>
      </c>
      <c r="C96">
        <v>26622.331720598624</v>
      </c>
    </row>
    <row r="97" spans="1:3">
      <c r="A97">
        <v>73</v>
      </c>
      <c r="B97">
        <v>630152.44295805215</v>
      </c>
      <c r="C97">
        <v>-4479.5829580521677</v>
      </c>
    </row>
    <row r="98" spans="1:3">
      <c r="A98">
        <v>74</v>
      </c>
      <c r="B98">
        <v>731870.5095461501</v>
      </c>
      <c r="C98">
        <v>6677.9104538499378</v>
      </c>
    </row>
    <row r="99" spans="1:3">
      <c r="A99">
        <v>75</v>
      </c>
      <c r="B99">
        <v>641391.02274593385</v>
      </c>
      <c r="C99">
        <v>5168.6872540661134</v>
      </c>
    </row>
    <row r="100" spans="1:3">
      <c r="A100">
        <v>76</v>
      </c>
      <c r="B100">
        <v>704113.00137163582</v>
      </c>
      <c r="C100">
        <v>-2471.0313716358505</v>
      </c>
    </row>
    <row r="101" spans="1:3">
      <c r="A101">
        <v>77</v>
      </c>
      <c r="B101">
        <v>680137.36449082149</v>
      </c>
      <c r="C101">
        <v>32730.985509178485</v>
      </c>
    </row>
    <row r="102" spans="1:3">
      <c r="A102">
        <v>78</v>
      </c>
      <c r="B102">
        <v>778715.76434452704</v>
      </c>
      <c r="C102">
        <v>-41645.584344526986</v>
      </c>
    </row>
    <row r="103" spans="1:3">
      <c r="A103">
        <v>79</v>
      </c>
      <c r="B103">
        <v>695264.84966562095</v>
      </c>
      <c r="C103">
        <v>14213.540334379068</v>
      </c>
    </row>
    <row r="104" spans="1:3">
      <c r="A104">
        <v>80</v>
      </c>
      <c r="B104">
        <v>749102.99855423544</v>
      </c>
      <c r="C104">
        <v>-19678.578554235399</v>
      </c>
    </row>
    <row r="105" spans="1:3">
      <c r="A105">
        <v>81</v>
      </c>
      <c r="B105">
        <v>754454.70321513154</v>
      </c>
      <c r="C105">
        <v>-8339.1132151315687</v>
      </c>
    </row>
    <row r="106" spans="1:3">
      <c r="A106">
        <v>82</v>
      </c>
      <c r="B106">
        <v>561543.58920536458</v>
      </c>
      <c r="C106">
        <v>-28899.129205364618</v>
      </c>
    </row>
    <row r="107" spans="1:3">
      <c r="A107">
        <v>83</v>
      </c>
      <c r="B107">
        <v>605784.34773543873</v>
      </c>
      <c r="C107">
        <v>67564.212264561327</v>
      </c>
    </row>
    <row r="108" spans="1:3">
      <c r="A108">
        <v>84</v>
      </c>
      <c r="B108">
        <v>642104.58336738672</v>
      </c>
      <c r="C108">
        <v>32669.506632613251</v>
      </c>
    </row>
    <row r="109" spans="1:3">
      <c r="A109">
        <v>85</v>
      </c>
      <c r="B109">
        <v>902197.42988693563</v>
      </c>
      <c r="C109">
        <v>19971.170113064349</v>
      </c>
    </row>
    <row r="110" spans="1:3">
      <c r="A110">
        <v>86</v>
      </c>
      <c r="B110">
        <v>704719.52789987065</v>
      </c>
      <c r="C110">
        <v>57608.782100129407</v>
      </c>
    </row>
    <row r="111" spans="1:3">
      <c r="A111">
        <v>87</v>
      </c>
      <c r="B111">
        <v>647813.06833900919</v>
      </c>
      <c r="C111">
        <v>34826.211660990841</v>
      </c>
    </row>
    <row r="112" spans="1:3">
      <c r="A112">
        <v>88</v>
      </c>
      <c r="B112">
        <v>847074.87187970616</v>
      </c>
      <c r="C112">
        <v>63717.068120293785</v>
      </c>
    </row>
    <row r="113" spans="1:3">
      <c r="A113">
        <v>89</v>
      </c>
      <c r="B113">
        <v>657553.17082184006</v>
      </c>
      <c r="C113">
        <v>-41483.760821840027</v>
      </c>
    </row>
    <row r="114" spans="1:3">
      <c r="A114">
        <v>90</v>
      </c>
      <c r="B114">
        <v>779072.54465525341</v>
      </c>
      <c r="C114">
        <v>-22452.774655253394</v>
      </c>
    </row>
    <row r="115" spans="1:3">
      <c r="A115">
        <v>91</v>
      </c>
      <c r="B115">
        <v>783211.19625967974</v>
      </c>
      <c r="C115">
        <v>37518.093740320299</v>
      </c>
    </row>
    <row r="116" spans="1:3">
      <c r="A116">
        <v>92</v>
      </c>
      <c r="B116">
        <v>647670.35621471866</v>
      </c>
      <c r="C116">
        <v>72409.183785281377</v>
      </c>
    </row>
    <row r="117" spans="1:3">
      <c r="A117">
        <v>93</v>
      </c>
      <c r="B117">
        <v>846860.80369327031</v>
      </c>
      <c r="C117">
        <v>-9952.5636932703201</v>
      </c>
    </row>
    <row r="118" spans="1:3">
      <c r="A118">
        <v>94</v>
      </c>
      <c r="B118">
        <v>576992.17665981781</v>
      </c>
      <c r="C118">
        <v>15203.673340182169</v>
      </c>
    </row>
    <row r="119" spans="1:3">
      <c r="A119">
        <v>95</v>
      </c>
      <c r="B119">
        <v>614561.14337930828</v>
      </c>
      <c r="C119">
        <v>27003.456620691693</v>
      </c>
    </row>
    <row r="120" spans="1:3">
      <c r="A120">
        <v>96</v>
      </c>
      <c r="B120">
        <v>582129.81313427805</v>
      </c>
      <c r="C120">
        <v>32670.276865721913</v>
      </c>
    </row>
    <row r="121" spans="1:3">
      <c r="A121">
        <v>97</v>
      </c>
      <c r="B121">
        <v>736437.29752344801</v>
      </c>
      <c r="C121">
        <v>31355.642476551933</v>
      </c>
    </row>
    <row r="122" spans="1:3">
      <c r="A122">
        <v>98</v>
      </c>
      <c r="B122">
        <v>836728.24286864046</v>
      </c>
      <c r="C122">
        <v>-2711.2228686404414</v>
      </c>
    </row>
    <row r="123" spans="1:3">
      <c r="A123">
        <v>99</v>
      </c>
      <c r="B123">
        <v>666329.96646570961</v>
      </c>
      <c r="C123">
        <v>35722.503534290357</v>
      </c>
    </row>
    <row r="124" spans="1:3">
      <c r="A124">
        <v>100</v>
      </c>
      <c r="B124">
        <v>556691.37697948539</v>
      </c>
      <c r="C124">
        <v>17744.91302051465</v>
      </c>
    </row>
    <row r="125" spans="1:3">
      <c r="A125">
        <v>101</v>
      </c>
      <c r="B125">
        <v>571497.75987463119</v>
      </c>
      <c r="C125">
        <v>54496.070125368773</v>
      </c>
    </row>
    <row r="126" spans="1:3">
      <c r="A126">
        <v>102</v>
      </c>
      <c r="B126">
        <v>690448.31547081447</v>
      </c>
      <c r="C126">
        <v>38992.134529185481</v>
      </c>
    </row>
    <row r="127" spans="1:3">
      <c r="A127">
        <v>103</v>
      </c>
      <c r="B127">
        <v>589907.62390811369</v>
      </c>
      <c r="C127">
        <v>46705.606091886293</v>
      </c>
    </row>
    <row r="128" spans="1:3">
      <c r="A128">
        <v>104</v>
      </c>
      <c r="B128">
        <v>709500.38406360452</v>
      </c>
      <c r="C128">
        <v>17726.815936395433</v>
      </c>
    </row>
    <row r="129" spans="1:3">
      <c r="A129">
        <v>105</v>
      </c>
      <c r="B129">
        <v>565075.71428155596</v>
      </c>
      <c r="C129">
        <v>-3478.3842815560056</v>
      </c>
    </row>
    <row r="130" spans="1:3">
      <c r="A130">
        <v>106</v>
      </c>
      <c r="B130">
        <v>507883.83047211327</v>
      </c>
      <c r="C130">
        <v>-20145.570472113264</v>
      </c>
    </row>
    <row r="131" spans="1:3">
      <c r="A131">
        <v>107</v>
      </c>
      <c r="B131">
        <v>685596.1032449354</v>
      </c>
      <c r="C131">
        <v>29501.466755064554</v>
      </c>
    </row>
    <row r="132" spans="1:3">
      <c r="A132">
        <v>108</v>
      </c>
      <c r="B132">
        <v>547807.54724239791</v>
      </c>
      <c r="C132">
        <v>-11262.057242397917</v>
      </c>
    </row>
    <row r="133" spans="1:3">
      <c r="A133">
        <v>109</v>
      </c>
      <c r="B133">
        <v>638857.88253977639</v>
      </c>
      <c r="C133">
        <v>35431.21746022359</v>
      </c>
    </row>
    <row r="134" spans="1:3">
      <c r="A134">
        <v>110</v>
      </c>
      <c r="B134">
        <v>606497.90835689148</v>
      </c>
      <c r="C134">
        <v>26511.621643108549</v>
      </c>
    </row>
    <row r="135" spans="1:3">
      <c r="A135">
        <v>111</v>
      </c>
      <c r="B135">
        <v>762874.7185482746</v>
      </c>
      <c r="C135">
        <v>19080.80145172542</v>
      </c>
    </row>
    <row r="136" spans="1:3">
      <c r="A136">
        <v>112</v>
      </c>
      <c r="B136">
        <v>647920.10243222711</v>
      </c>
      <c r="C136">
        <v>28417.307567772921</v>
      </c>
    </row>
    <row r="137" spans="1:3">
      <c r="A137">
        <v>113</v>
      </c>
      <c r="B137">
        <v>641890.51518095087</v>
      </c>
      <c r="C137">
        <v>-1223.98518095084</v>
      </c>
    </row>
    <row r="138" spans="1:3">
      <c r="A138">
        <v>114</v>
      </c>
      <c r="B138">
        <v>713246.57732623175</v>
      </c>
      <c r="C138">
        <v>57882.492673768196</v>
      </c>
    </row>
    <row r="139" spans="1:3">
      <c r="A139">
        <v>115</v>
      </c>
      <c r="B139">
        <v>576349.97210051038</v>
      </c>
      <c r="C139">
        <v>28828.027899489622</v>
      </c>
    </row>
    <row r="140" spans="1:3">
      <c r="A140">
        <v>116</v>
      </c>
      <c r="B140">
        <v>578205.22971628769</v>
      </c>
      <c r="C140">
        <v>76111.860283712274</v>
      </c>
    </row>
    <row r="141" spans="1:3">
      <c r="A141">
        <v>117</v>
      </c>
      <c r="B141">
        <v>758272.25253990409</v>
      </c>
      <c r="C141">
        <v>22071.927460095962</v>
      </c>
    </row>
    <row r="142" spans="1:3">
      <c r="A142">
        <v>118</v>
      </c>
      <c r="B142">
        <v>641105.5984973528</v>
      </c>
      <c r="C142">
        <v>6407.251502647181</v>
      </c>
    </row>
    <row r="143" spans="1:3">
      <c r="A143">
        <v>119</v>
      </c>
      <c r="B143">
        <v>660478.7693697965</v>
      </c>
      <c r="C143">
        <v>51897.000630203518</v>
      </c>
    </row>
    <row r="144" spans="1:3">
      <c r="A144">
        <v>120</v>
      </c>
      <c r="B144">
        <v>716207.85390526091</v>
      </c>
      <c r="C144">
        <v>20425.546094739111</v>
      </c>
    </row>
    <row r="145" spans="1:3">
      <c r="A145">
        <v>121</v>
      </c>
      <c r="B145">
        <v>633791.60212746146</v>
      </c>
      <c r="C145">
        <v>44519.567872538581</v>
      </c>
    </row>
    <row r="146" spans="1:3">
      <c r="A146">
        <v>122</v>
      </c>
      <c r="B146">
        <v>778751.44237559964</v>
      </c>
      <c r="C146">
        <v>4921.3776244003093</v>
      </c>
    </row>
    <row r="147" spans="1:3">
      <c r="A147">
        <v>123</v>
      </c>
      <c r="B147">
        <v>792558.84040071152</v>
      </c>
      <c r="C147">
        <v>-30639.590400711517</v>
      </c>
    </row>
    <row r="148" spans="1:3">
      <c r="A148">
        <v>124</v>
      </c>
      <c r="B148">
        <v>651380.87144627329</v>
      </c>
      <c r="C148">
        <v>62702.808553726762</v>
      </c>
    </row>
    <row r="149" spans="1:3">
      <c r="A149">
        <v>125</v>
      </c>
      <c r="B149">
        <v>566431.47946231626</v>
      </c>
      <c r="C149">
        <v>-10502.079462316236</v>
      </c>
    </row>
    <row r="150" spans="1:3">
      <c r="A150">
        <v>126</v>
      </c>
      <c r="B150">
        <v>591762.881523891</v>
      </c>
      <c r="C150">
        <v>-6397.1515238910215</v>
      </c>
    </row>
    <row r="151" spans="1:3">
      <c r="A151">
        <v>127</v>
      </c>
      <c r="B151">
        <v>725270.07379771164</v>
      </c>
      <c r="C151">
        <v>10210.116202288307</v>
      </c>
    </row>
    <row r="152" spans="1:3">
      <c r="A152">
        <v>128</v>
      </c>
      <c r="B152">
        <v>777752.45750556572</v>
      </c>
      <c r="C152">
        <v>-26358.577505565714</v>
      </c>
    </row>
    <row r="153" spans="1:3">
      <c r="A153">
        <v>129</v>
      </c>
      <c r="B153">
        <v>584662.95334043563</v>
      </c>
      <c r="C153">
        <v>22120.716659564408</v>
      </c>
    </row>
    <row r="154" spans="1:3">
      <c r="A154">
        <v>130</v>
      </c>
      <c r="B154">
        <v>788848.32516915689</v>
      </c>
      <c r="C154">
        <v>39775.524830843089</v>
      </c>
    </row>
    <row r="155" spans="1:3">
      <c r="A155">
        <v>131</v>
      </c>
      <c r="B155">
        <v>730728.81255182554</v>
      </c>
      <c r="C155">
        <v>14851.697448174469</v>
      </c>
    </row>
    <row r="156" spans="1:3">
      <c r="A156">
        <v>132</v>
      </c>
      <c r="B156">
        <v>731442.37317327841</v>
      </c>
      <c r="C156">
        <v>-7095.6431732784258</v>
      </c>
    </row>
    <row r="157" spans="1:3">
      <c r="A157">
        <v>133</v>
      </c>
      <c r="B157">
        <v>693980.44054700597</v>
      </c>
      <c r="C157">
        <v>-28445.740547006018</v>
      </c>
    </row>
    <row r="158" spans="1:3">
      <c r="A158">
        <v>134</v>
      </c>
      <c r="B158">
        <v>539637.2781267633</v>
      </c>
      <c r="C158">
        <v>26173.711873236694</v>
      </c>
    </row>
    <row r="159" spans="1:3">
      <c r="A159">
        <v>135</v>
      </c>
      <c r="B159">
        <v>666508.35662107274</v>
      </c>
      <c r="C159">
        <v>4121.1233789272374</v>
      </c>
    </row>
    <row r="160" spans="1:3">
      <c r="A160">
        <v>136</v>
      </c>
      <c r="B160">
        <v>742395.52871257905</v>
      </c>
      <c r="C160">
        <v>-1898.8787125790259</v>
      </c>
    </row>
    <row r="161" spans="1:3">
      <c r="A161">
        <v>137</v>
      </c>
      <c r="B161">
        <v>674535.91361241695</v>
      </c>
      <c r="C161">
        <v>16577.70638758305</v>
      </c>
    </row>
    <row r="162" spans="1:3">
      <c r="A162">
        <v>138</v>
      </c>
      <c r="B162">
        <v>531681.07719756453</v>
      </c>
      <c r="C162">
        <v>5702.7128024355043</v>
      </c>
    </row>
    <row r="163" spans="1:3">
      <c r="A163">
        <v>139</v>
      </c>
      <c r="B163">
        <v>663654.11413526151</v>
      </c>
      <c r="C163">
        <v>31444.395864738501</v>
      </c>
    </row>
    <row r="164" spans="1:3">
      <c r="A164">
        <v>140</v>
      </c>
      <c r="B164">
        <v>560330.53614889481</v>
      </c>
      <c r="C164">
        <v>44693.333851105184</v>
      </c>
    </row>
    <row r="165" spans="1:3">
      <c r="A165">
        <v>141</v>
      </c>
      <c r="B165">
        <v>803048.18153606774</v>
      </c>
      <c r="C165">
        <v>7306.8384639322758</v>
      </c>
    </row>
    <row r="166" spans="1:3">
      <c r="A166">
        <v>142</v>
      </c>
      <c r="B166">
        <v>614525.46534823556</v>
      </c>
      <c r="C166">
        <v>-8750.1353482356062</v>
      </c>
    </row>
    <row r="167" spans="1:3">
      <c r="A167">
        <v>143</v>
      </c>
      <c r="B167">
        <v>725448.46395307477</v>
      </c>
      <c r="C167">
        <v>-10506.033953074715</v>
      </c>
    </row>
    <row r="168" spans="1:3">
      <c r="A168">
        <v>144</v>
      </c>
      <c r="B168">
        <v>765158.11253692361</v>
      </c>
      <c r="C168">
        <v>36843.567463076441</v>
      </c>
    </row>
    <row r="169" spans="1:3">
      <c r="A169">
        <v>145</v>
      </c>
      <c r="B169">
        <v>594902.54825828341</v>
      </c>
      <c r="C169">
        <v>15046.451741716592</v>
      </c>
    </row>
    <row r="170" spans="1:3">
      <c r="A170">
        <v>146</v>
      </c>
      <c r="B170">
        <v>530539.38020323997</v>
      </c>
      <c r="C170">
        <v>2581.8797967600403</v>
      </c>
    </row>
    <row r="171" spans="1:3">
      <c r="A171">
        <v>147</v>
      </c>
      <c r="B171">
        <v>630152.44295805215</v>
      </c>
      <c r="C171">
        <v>-18228.172958052135</v>
      </c>
    </row>
    <row r="172" spans="1:3">
      <c r="A172">
        <v>148</v>
      </c>
      <c r="B172">
        <v>671967.09537518676</v>
      </c>
      <c r="C172">
        <v>-24013.315375186736</v>
      </c>
    </row>
    <row r="173" spans="1:3">
      <c r="A173">
        <v>149</v>
      </c>
      <c r="B173">
        <v>810041.0756263053</v>
      </c>
      <c r="C173">
        <v>-10284.615626305342</v>
      </c>
    </row>
    <row r="174" spans="1:3">
      <c r="A174">
        <v>150</v>
      </c>
      <c r="B174">
        <v>555121.54361228924</v>
      </c>
      <c r="C174">
        <v>-26268.923612289247</v>
      </c>
    </row>
    <row r="175" spans="1:3">
      <c r="A175">
        <v>151</v>
      </c>
      <c r="B175">
        <v>639428.73103693873</v>
      </c>
      <c r="C175">
        <v>-18059.151036938769</v>
      </c>
    </row>
    <row r="176" spans="1:3">
      <c r="A176">
        <v>152</v>
      </c>
      <c r="B176">
        <v>522083.68683902419</v>
      </c>
      <c r="C176">
        <v>-30178.556839024182</v>
      </c>
    </row>
    <row r="177" spans="1:3">
      <c r="A177">
        <v>153</v>
      </c>
      <c r="B177">
        <v>733797.12322407262</v>
      </c>
      <c r="C177">
        <v>43195.806775927427</v>
      </c>
    </row>
    <row r="178" spans="1:3">
      <c r="A178">
        <v>154</v>
      </c>
      <c r="B178">
        <v>570070.63863172557</v>
      </c>
      <c r="C178">
        <v>-33225.218631725525</v>
      </c>
    </row>
    <row r="179" spans="1:3">
      <c r="A179">
        <v>155</v>
      </c>
      <c r="B179">
        <v>741396.54384254501</v>
      </c>
      <c r="C179">
        <v>-10506.533842545003</v>
      </c>
    </row>
    <row r="180" spans="1:3">
      <c r="A180">
        <v>156</v>
      </c>
      <c r="B180">
        <v>686880.51236355049</v>
      </c>
      <c r="C180">
        <v>11612.157636449556</v>
      </c>
    </row>
    <row r="181" spans="1:3">
      <c r="A181">
        <v>157</v>
      </c>
      <c r="B181">
        <v>617058.60555439303</v>
      </c>
      <c r="C181">
        <v>-11307.275554393069</v>
      </c>
    </row>
    <row r="182" spans="1:3">
      <c r="A182">
        <v>158</v>
      </c>
      <c r="B182">
        <v>733190.5966958378</v>
      </c>
      <c r="C182">
        <v>-56093.886695837835</v>
      </c>
    </row>
    <row r="183" spans="1:3">
      <c r="A183">
        <v>159</v>
      </c>
      <c r="B183">
        <v>887426.72502286243</v>
      </c>
      <c r="C183">
        <v>111.02497713756748</v>
      </c>
    </row>
    <row r="184" spans="1:3">
      <c r="A184">
        <v>160</v>
      </c>
      <c r="B184">
        <v>675606.25454459607</v>
      </c>
      <c r="C184">
        <v>24472.065455403877</v>
      </c>
    </row>
    <row r="185" spans="1:3">
      <c r="A185">
        <v>161</v>
      </c>
      <c r="B185">
        <v>649275.86761298741</v>
      </c>
      <c r="C185">
        <v>-15781.657612987445</v>
      </c>
    </row>
    <row r="186" spans="1:3">
      <c r="A186">
        <v>162</v>
      </c>
      <c r="B186">
        <v>729408.72540213796</v>
      </c>
      <c r="C186">
        <v>-16862.345402137958</v>
      </c>
    </row>
    <row r="187" spans="1:3">
      <c r="A187">
        <v>163</v>
      </c>
      <c r="B187">
        <v>592476.44214534387</v>
      </c>
      <c r="C187">
        <v>-44372.742145343916</v>
      </c>
    </row>
    <row r="188" spans="1:3">
      <c r="A188">
        <v>164</v>
      </c>
      <c r="B188">
        <v>829628.31468518497</v>
      </c>
      <c r="C188">
        <v>-9967.7246851850068</v>
      </c>
    </row>
    <row r="189" spans="1:3">
      <c r="A189">
        <v>165</v>
      </c>
      <c r="B189">
        <v>790489.51459849835</v>
      </c>
      <c r="C189">
        <v>-38167.794598498382</v>
      </c>
    </row>
    <row r="190" spans="1:3">
      <c r="A190">
        <v>166</v>
      </c>
      <c r="B190">
        <v>607282.82504048967</v>
      </c>
      <c r="C190">
        <v>-21345.345040489687</v>
      </c>
    </row>
    <row r="191" spans="1:3">
      <c r="A191">
        <v>167</v>
      </c>
      <c r="B191">
        <v>581380.5744817527</v>
      </c>
      <c r="C191">
        <v>-21958.554481752682</v>
      </c>
    </row>
    <row r="192" spans="1:3">
      <c r="A192">
        <v>168</v>
      </c>
      <c r="B192">
        <v>739719.67638213094</v>
      </c>
      <c r="C192">
        <v>-42564.376382130897</v>
      </c>
    </row>
    <row r="193" spans="1:3">
      <c r="A193">
        <v>169</v>
      </c>
      <c r="B193">
        <v>805902.42402187898</v>
      </c>
      <c r="C193">
        <v>22317.245978121064</v>
      </c>
    </row>
    <row r="194" spans="1:3">
      <c r="A194">
        <v>170</v>
      </c>
      <c r="B194">
        <v>825168.56080110488</v>
      </c>
      <c r="C194">
        <v>-18553.020801104838</v>
      </c>
    </row>
    <row r="195" spans="1:3">
      <c r="A195">
        <v>171</v>
      </c>
      <c r="B195">
        <v>565931.98702729936</v>
      </c>
      <c r="C195">
        <v>5032.8529727006098</v>
      </c>
    </row>
    <row r="196" spans="1:3">
      <c r="A196">
        <v>172</v>
      </c>
      <c r="B196">
        <v>699974.3497672095</v>
      </c>
      <c r="C196">
        <v>-34379.409767209552</v>
      </c>
    </row>
    <row r="197" spans="1:3">
      <c r="A197">
        <v>173</v>
      </c>
      <c r="B197">
        <v>844363.34151818545</v>
      </c>
      <c r="C197">
        <v>10977.938481814577</v>
      </c>
    </row>
    <row r="198" spans="1:3">
      <c r="A198">
        <v>174</v>
      </c>
      <c r="B198">
        <v>763766.66932509071</v>
      </c>
      <c r="C198">
        <v>-17265.579325090745</v>
      </c>
    </row>
    <row r="199" spans="1:3">
      <c r="A199">
        <v>175</v>
      </c>
      <c r="B199">
        <v>810968.7044341939</v>
      </c>
      <c r="C199">
        <v>802.43556580611039</v>
      </c>
    </row>
    <row r="200" spans="1:3">
      <c r="A200">
        <v>176</v>
      </c>
      <c r="B200">
        <v>656768.25413824199</v>
      </c>
      <c r="C200">
        <v>11691.115861758008</v>
      </c>
    </row>
    <row r="201" spans="1:3">
      <c r="A201">
        <v>177</v>
      </c>
      <c r="B201">
        <v>490330.23918437422</v>
      </c>
      <c r="C201">
        <v>8640.0808156257845</v>
      </c>
    </row>
    <row r="202" spans="1:3">
      <c r="A202">
        <v>178</v>
      </c>
      <c r="B202">
        <v>825239.9168632502</v>
      </c>
      <c r="C202">
        <v>23778.38313674985</v>
      </c>
    </row>
    <row r="203" spans="1:3">
      <c r="A203">
        <v>179</v>
      </c>
      <c r="B203">
        <v>720096.75929217879</v>
      </c>
      <c r="C203">
        <v>-40365.189292178839</v>
      </c>
    </row>
    <row r="204" spans="1:3">
      <c r="A204">
        <v>180</v>
      </c>
      <c r="B204">
        <v>783532.29853933351</v>
      </c>
      <c r="C204">
        <v>15419.871460666531</v>
      </c>
    </row>
    <row r="205" spans="1:3">
      <c r="A205">
        <v>181</v>
      </c>
      <c r="B205">
        <v>796483.42381870188</v>
      </c>
      <c r="C205">
        <v>-35406.34381870192</v>
      </c>
    </row>
    <row r="206" spans="1:3">
      <c r="A206">
        <v>182</v>
      </c>
      <c r="B206">
        <v>640285.003782682</v>
      </c>
      <c r="C206">
        <v>-18607.703782681958</v>
      </c>
    </row>
    <row r="207" spans="1:3">
      <c r="A207">
        <v>183</v>
      </c>
      <c r="B207">
        <v>581558.96463711583</v>
      </c>
      <c r="C207">
        <v>33037.355362884118</v>
      </c>
    </row>
    <row r="208" spans="1:3">
      <c r="A208">
        <v>184</v>
      </c>
      <c r="B208">
        <v>554407.98299083649</v>
      </c>
      <c r="C208">
        <v>-56968.162990836485</v>
      </c>
    </row>
    <row r="209" spans="1:3">
      <c r="A209">
        <v>185</v>
      </c>
      <c r="B209">
        <v>649382.90170620533</v>
      </c>
      <c r="C209">
        <v>-4342.9317062053597</v>
      </c>
    </row>
    <row r="210" spans="1:3">
      <c r="A210">
        <v>186</v>
      </c>
      <c r="B210">
        <v>619984.20410234958</v>
      </c>
      <c r="C210">
        <v>-28364.254102349631</v>
      </c>
    </row>
    <row r="211" spans="1:3">
      <c r="A211">
        <v>187</v>
      </c>
      <c r="B211">
        <v>824455.00017965212</v>
      </c>
      <c r="C211">
        <v>-22624.650179652148</v>
      </c>
    </row>
    <row r="212" spans="1:3">
      <c r="A212">
        <v>188</v>
      </c>
      <c r="B212">
        <v>720881.67597577686</v>
      </c>
      <c r="C212">
        <v>-18562.735975776915</v>
      </c>
    </row>
    <row r="213" spans="1:3">
      <c r="A213">
        <v>189</v>
      </c>
      <c r="B213">
        <v>598363.31727232947</v>
      </c>
      <c r="C213">
        <v>3205.5527276705252</v>
      </c>
    </row>
    <row r="214" spans="1:3">
      <c r="A214">
        <v>190</v>
      </c>
      <c r="B214">
        <v>698190.4482135775</v>
      </c>
      <c r="C214">
        <v>-32037.928213577485</v>
      </c>
    </row>
    <row r="215" spans="1:3">
      <c r="A215">
        <v>191</v>
      </c>
      <c r="B215">
        <v>699118.0770214661</v>
      </c>
      <c r="C215">
        <v>2950.8429785339395</v>
      </c>
    </row>
    <row r="216" spans="1:3">
      <c r="A216">
        <v>192</v>
      </c>
      <c r="B216">
        <v>613312.41229176591</v>
      </c>
      <c r="C216">
        <v>-7034.1122917658649</v>
      </c>
    </row>
    <row r="217" spans="1:3">
      <c r="A217">
        <v>193</v>
      </c>
      <c r="B217">
        <v>759984.79803139076</v>
      </c>
      <c r="C217">
        <v>-53699.278031390742</v>
      </c>
    </row>
    <row r="218" spans="1:3">
      <c r="A218">
        <v>194</v>
      </c>
      <c r="B218">
        <v>784495.60537829483</v>
      </c>
      <c r="C218">
        <v>40564.914621705189</v>
      </c>
    </row>
    <row r="219" spans="1:3">
      <c r="A219">
        <v>195</v>
      </c>
      <c r="B219">
        <v>662512.41714093706</v>
      </c>
      <c r="C219">
        <v>-54614.297140937066</v>
      </c>
    </row>
    <row r="220" spans="1:3">
      <c r="A220">
        <v>196</v>
      </c>
      <c r="B220">
        <v>528898.1907738985</v>
      </c>
      <c r="C220">
        <v>22064.739226101548</v>
      </c>
    </row>
    <row r="221" spans="1:3">
      <c r="A221">
        <v>197</v>
      </c>
      <c r="B221">
        <v>598506.02939662011</v>
      </c>
      <c r="C221">
        <v>-25350.839396620169</v>
      </c>
    </row>
    <row r="222" spans="1:3">
      <c r="A222">
        <v>198</v>
      </c>
      <c r="B222">
        <v>757986.82829132292</v>
      </c>
      <c r="C222">
        <v>-7515.4882913229521</v>
      </c>
    </row>
    <row r="223" spans="1:3">
      <c r="A223">
        <v>199</v>
      </c>
      <c r="B223">
        <v>583592.61240825639</v>
      </c>
      <c r="C223">
        <v>-11581.412408256438</v>
      </c>
    </row>
    <row r="224" spans="1:3">
      <c r="A224">
        <v>200</v>
      </c>
      <c r="B224">
        <v>651880.36388129019</v>
      </c>
      <c r="C224">
        <v>-23342.063881290145</v>
      </c>
    </row>
    <row r="225" spans="1:3">
      <c r="A225">
        <v>201</v>
      </c>
      <c r="B225">
        <v>796982.91625371901</v>
      </c>
      <c r="C225">
        <v>-38844.626253718976</v>
      </c>
    </row>
    <row r="226" spans="1:3">
      <c r="A226">
        <v>202</v>
      </c>
      <c r="B226">
        <v>639071.95072621224</v>
      </c>
      <c r="C226">
        <v>-37069.630726212286</v>
      </c>
    </row>
    <row r="227" spans="1:3">
      <c r="A227">
        <v>203</v>
      </c>
      <c r="B227">
        <v>758200.89647775877</v>
      </c>
      <c r="C227">
        <v>25596.993522241246</v>
      </c>
    </row>
    <row r="228" spans="1:3">
      <c r="A228">
        <v>204</v>
      </c>
      <c r="B228">
        <v>644851.79175998003</v>
      </c>
      <c r="C228">
        <v>-8076.131759979995</v>
      </c>
    </row>
    <row r="229" spans="1:3">
      <c r="A229">
        <v>205</v>
      </c>
      <c r="B229">
        <v>817533.46215155977</v>
      </c>
      <c r="C229">
        <v>-13269.462151559768</v>
      </c>
    </row>
    <row r="230" spans="1:3">
      <c r="A230">
        <v>206</v>
      </c>
      <c r="B230">
        <v>791559.8555306776</v>
      </c>
      <c r="C230">
        <v>-6531.6055306775961</v>
      </c>
    </row>
    <row r="231" spans="1:3">
      <c r="A231">
        <v>207</v>
      </c>
      <c r="B231">
        <v>688378.98966860143</v>
      </c>
      <c r="C231">
        <v>76570.010331398575</v>
      </c>
    </row>
    <row r="232" spans="1:3">
      <c r="A232">
        <v>208</v>
      </c>
      <c r="B232">
        <v>723807.27452373342</v>
      </c>
      <c r="C232">
        <v>2968.9454762665555</v>
      </c>
    </row>
    <row r="233" spans="1:3">
      <c r="A233">
        <v>209</v>
      </c>
      <c r="B233">
        <v>491364.90208548075</v>
      </c>
      <c r="C233">
        <v>-40652.982085480762</v>
      </c>
    </row>
    <row r="234" spans="1:3">
      <c r="A234">
        <v>210</v>
      </c>
      <c r="B234">
        <v>841580.45509451954</v>
      </c>
      <c r="C234">
        <v>859.21490548050497</v>
      </c>
    </row>
    <row r="235" spans="1:3">
      <c r="A235">
        <v>211</v>
      </c>
      <c r="B235">
        <v>706539.10748457536</v>
      </c>
      <c r="C235">
        <v>5680.7025154246949</v>
      </c>
    </row>
    <row r="236" spans="1:3">
      <c r="A236">
        <v>212</v>
      </c>
      <c r="B236">
        <v>710570.72499578376</v>
      </c>
      <c r="C236">
        <v>-37900.184995783726</v>
      </c>
    </row>
    <row r="237" spans="1:3">
      <c r="A237">
        <v>213</v>
      </c>
      <c r="B237">
        <v>794342.74195434351</v>
      </c>
      <c r="C237">
        <v>-32379.511954343528</v>
      </c>
    </row>
    <row r="238" spans="1:3">
      <c r="A238">
        <v>214</v>
      </c>
      <c r="B238">
        <v>727553.46778636053</v>
      </c>
      <c r="C238">
        <v>5114.4522136395099</v>
      </c>
    </row>
    <row r="239" spans="1:3">
      <c r="A239">
        <v>215</v>
      </c>
      <c r="B239">
        <v>771401.7679746357</v>
      </c>
      <c r="C239">
        <v>-10279.347974635661</v>
      </c>
    </row>
    <row r="240" spans="1:3">
      <c r="A240">
        <v>216</v>
      </c>
      <c r="B240">
        <v>584555.91924721771</v>
      </c>
      <c r="C240">
        <v>-56874.359247217653</v>
      </c>
    </row>
    <row r="241" spans="1:3">
      <c r="A241">
        <v>217</v>
      </c>
      <c r="B241">
        <v>807650.64754443849</v>
      </c>
      <c r="C241">
        <v>2795.8824555615429</v>
      </c>
    </row>
    <row r="242" spans="1:3">
      <c r="A242">
        <v>218</v>
      </c>
      <c r="B242">
        <v>663475.72397989826</v>
      </c>
      <c r="C242">
        <v>18379.836020101793</v>
      </c>
    </row>
    <row r="243" spans="1:3">
      <c r="A243">
        <v>219</v>
      </c>
      <c r="B243">
        <v>783889.07885005989</v>
      </c>
      <c r="C243">
        <v>-4878.1388500599423</v>
      </c>
    </row>
    <row r="244" spans="1:3">
      <c r="A244">
        <v>220</v>
      </c>
      <c r="B244">
        <v>662441.06107879174</v>
      </c>
      <c r="C244">
        <v>29567.578921208275</v>
      </c>
    </row>
    <row r="245" spans="1:3">
      <c r="A245">
        <v>221</v>
      </c>
      <c r="B245">
        <v>729694.14965071902</v>
      </c>
      <c r="C245">
        <v>-12552.59965071897</v>
      </c>
    </row>
    <row r="246" spans="1:3">
      <c r="A246">
        <v>222</v>
      </c>
      <c r="B246">
        <v>737400.60436240933</v>
      </c>
      <c r="C246">
        <v>-19070.074362409301</v>
      </c>
    </row>
    <row r="247" spans="1:3">
      <c r="A247">
        <v>223</v>
      </c>
      <c r="B247">
        <v>636538.81052005477</v>
      </c>
      <c r="C247">
        <v>-22513.90052005474</v>
      </c>
    </row>
    <row r="248" spans="1:3">
      <c r="A248">
        <v>224</v>
      </c>
      <c r="B248">
        <v>516446.55792954704</v>
      </c>
      <c r="C248">
        <v>12629.392070452916</v>
      </c>
    </row>
    <row r="249" spans="1:3">
      <c r="A249">
        <v>225</v>
      </c>
      <c r="B249">
        <v>736080.51721272175</v>
      </c>
      <c r="C249">
        <v>-56191.777212721761</v>
      </c>
    </row>
    <row r="250" spans="1:3">
      <c r="A250">
        <v>226</v>
      </c>
      <c r="B250">
        <v>659551.1405619079</v>
      </c>
      <c r="C250">
        <v>-22989.800561907934</v>
      </c>
    </row>
    <row r="251" spans="1:3">
      <c r="A251">
        <v>227</v>
      </c>
      <c r="B251">
        <v>643995.51901423663</v>
      </c>
      <c r="C251">
        <v>22577.68098576332</v>
      </c>
    </row>
    <row r="252" spans="1:3">
      <c r="A252">
        <v>228</v>
      </c>
      <c r="B252">
        <v>628511.25352871069</v>
      </c>
      <c r="C252">
        <v>-5699.5135287106968</v>
      </c>
    </row>
    <row r="253" spans="1:3">
      <c r="A253">
        <v>229</v>
      </c>
      <c r="B253">
        <v>776396.69232480531</v>
      </c>
      <c r="C253">
        <v>-58321.902324805269</v>
      </c>
    </row>
    <row r="254" spans="1:3">
      <c r="A254">
        <v>230</v>
      </c>
      <c r="B254">
        <v>819353.04173626448</v>
      </c>
      <c r="C254">
        <v>-18373.261736264452</v>
      </c>
    </row>
    <row r="255" spans="1:3">
      <c r="A255">
        <v>231</v>
      </c>
      <c r="B255">
        <v>707716.48250997253</v>
      </c>
      <c r="C255">
        <v>1268.7074900274165</v>
      </c>
    </row>
    <row r="256" spans="1:3">
      <c r="A256">
        <v>232</v>
      </c>
      <c r="B256">
        <v>795769.86319724913</v>
      </c>
      <c r="C256">
        <v>-33934.52319724916</v>
      </c>
    </row>
    <row r="257" spans="1:3">
      <c r="A257">
        <v>233</v>
      </c>
      <c r="B257">
        <v>833017.72763708583</v>
      </c>
      <c r="C257">
        <v>-21565.007637085859</v>
      </c>
    </row>
    <row r="258" spans="1:3">
      <c r="A258">
        <v>234</v>
      </c>
      <c r="B258">
        <v>740825.6953453829</v>
      </c>
      <c r="C258">
        <v>-37012.705345382914</v>
      </c>
    </row>
    <row r="259" spans="1:3">
      <c r="A259">
        <v>235</v>
      </c>
      <c r="B259">
        <v>652165.78812987125</v>
      </c>
      <c r="C259">
        <v>-16328.048129871255</v>
      </c>
    </row>
    <row r="260" spans="1:3">
      <c r="A260">
        <v>236</v>
      </c>
      <c r="B260">
        <v>731977.54363936803</v>
      </c>
      <c r="C260">
        <v>31182.376360632014</v>
      </c>
    </row>
    <row r="261" spans="1:3">
      <c r="A261">
        <v>237</v>
      </c>
      <c r="B261">
        <v>602430.61281461047</v>
      </c>
      <c r="C261">
        <v>-15803.672814610531</v>
      </c>
    </row>
    <row r="262" spans="1:3">
      <c r="A262">
        <v>238</v>
      </c>
      <c r="B262">
        <v>621161.57912774675</v>
      </c>
      <c r="C262">
        <v>-22144.249127746793</v>
      </c>
    </row>
    <row r="263" spans="1:3">
      <c r="A263">
        <v>239</v>
      </c>
      <c r="B263">
        <v>684097.62593988446</v>
      </c>
      <c r="C263">
        <v>-40440.155939884484</v>
      </c>
    </row>
    <row r="264" spans="1:3">
      <c r="A264">
        <v>240</v>
      </c>
      <c r="B264">
        <v>625300.23073217308</v>
      </c>
      <c r="C264">
        <v>-2407.8107321730349</v>
      </c>
    </row>
    <row r="265" spans="1:3">
      <c r="A265">
        <v>241</v>
      </c>
      <c r="B265">
        <v>652094.43206772604</v>
      </c>
      <c r="C265">
        <v>-9343.0120677259983</v>
      </c>
    </row>
    <row r="266" spans="1:3">
      <c r="A266">
        <v>242</v>
      </c>
      <c r="B266">
        <v>724485.15711411345</v>
      </c>
      <c r="C266">
        <v>-28223.667114113458</v>
      </c>
    </row>
    <row r="267" spans="1:3">
      <c r="A267">
        <v>243</v>
      </c>
      <c r="B267">
        <v>589265.41934880614</v>
      </c>
      <c r="C267">
        <v>22501.300651193829</v>
      </c>
    </row>
    <row r="268" spans="1:3">
      <c r="A268">
        <v>244</v>
      </c>
      <c r="B268">
        <v>730871.52467611618</v>
      </c>
      <c r="C268">
        <v>-42503.064676116221</v>
      </c>
    </row>
    <row r="269" spans="1:3">
      <c r="A269">
        <v>245</v>
      </c>
      <c r="B269">
        <v>491650.32633406192</v>
      </c>
      <c r="C269">
        <v>-48374.73633406189</v>
      </c>
    </row>
    <row r="270" spans="1:3">
      <c r="A270">
        <v>246</v>
      </c>
      <c r="B270">
        <v>575493.69935476698</v>
      </c>
      <c r="C270">
        <v>17753.550645233016</v>
      </c>
    </row>
    <row r="271" spans="1:3">
      <c r="A271">
        <v>247</v>
      </c>
      <c r="B271">
        <v>625228.87467002776</v>
      </c>
      <c r="C271">
        <v>-46279.034670027788</v>
      </c>
    </row>
    <row r="272" spans="1:3">
      <c r="A272">
        <v>248</v>
      </c>
      <c r="B272">
        <v>583200.1540664573</v>
      </c>
      <c r="C272">
        <v>-36976.454066457343</v>
      </c>
    </row>
    <row r="273" spans="1:3">
      <c r="A273">
        <v>249</v>
      </c>
      <c r="B273">
        <v>666793.78086965391</v>
      </c>
      <c r="C273">
        <v>-23364.930869653937</v>
      </c>
    </row>
    <row r="274" spans="1:3">
      <c r="A274">
        <v>250</v>
      </c>
      <c r="B274">
        <v>740825.6953453829</v>
      </c>
      <c r="C274">
        <v>-59985.335345382919</v>
      </c>
    </row>
    <row r="275" spans="1:3">
      <c r="A275">
        <v>251</v>
      </c>
      <c r="B275">
        <v>600254.25291917939</v>
      </c>
      <c r="C275">
        <v>-22521.682919179439</v>
      </c>
    </row>
    <row r="276" spans="1:3">
      <c r="A276">
        <v>252</v>
      </c>
      <c r="B276">
        <v>784638.31750258536</v>
      </c>
      <c r="C276">
        <v>-63274.20750258537</v>
      </c>
    </row>
    <row r="277" spans="1:3">
      <c r="A277">
        <v>253</v>
      </c>
      <c r="B277">
        <v>780856.44620888541</v>
      </c>
      <c r="C277">
        <v>-41024.716208885424</v>
      </c>
    </row>
    <row r="278" spans="1:3">
      <c r="A278">
        <v>254</v>
      </c>
      <c r="B278">
        <v>605534.60151793016</v>
      </c>
      <c r="C278">
        <v>-5931.2015179301379</v>
      </c>
    </row>
    <row r="279" spans="1:3">
      <c r="A279">
        <v>255</v>
      </c>
      <c r="B279">
        <v>534570.99771444837</v>
      </c>
      <c r="C279">
        <v>-34397.977714448352</v>
      </c>
    </row>
    <row r="280" spans="1:3">
      <c r="A280">
        <v>256</v>
      </c>
      <c r="B280">
        <v>775540.41957906203</v>
      </c>
      <c r="C280">
        <v>-78252.519579062006</v>
      </c>
    </row>
    <row r="281" spans="1:3">
      <c r="A281">
        <v>257</v>
      </c>
      <c r="B281">
        <v>602180.86659710202</v>
      </c>
      <c r="C281">
        <v>-28114.256597102038</v>
      </c>
    </row>
    <row r="282" spans="1:3">
      <c r="A282">
        <v>258</v>
      </c>
      <c r="B282">
        <v>547522.12299381685</v>
      </c>
      <c r="C282">
        <v>-68471.622993816854</v>
      </c>
    </row>
    <row r="283" spans="1:3">
      <c r="A283">
        <v>259</v>
      </c>
      <c r="B283">
        <v>634968.97715285863</v>
      </c>
      <c r="C283">
        <v>-98444.137152858661</v>
      </c>
    </row>
    <row r="284" spans="1:3">
      <c r="A284">
        <v>260</v>
      </c>
      <c r="B284">
        <v>558867.73687491647</v>
      </c>
      <c r="C284">
        <v>-21809.406874916516</v>
      </c>
    </row>
    <row r="285" spans="1:3">
      <c r="A285">
        <v>261</v>
      </c>
      <c r="B285">
        <v>722736.93359155417</v>
      </c>
      <c r="C285">
        <v>-36906.693591554184</v>
      </c>
    </row>
    <row r="286" spans="1:3">
      <c r="A286">
        <v>262</v>
      </c>
      <c r="B286">
        <v>777609.74538127519</v>
      </c>
      <c r="C286">
        <v>-105741.15538127522</v>
      </c>
    </row>
    <row r="287" spans="1:3">
      <c r="A287">
        <v>263</v>
      </c>
      <c r="B287">
        <v>636110.67414718308</v>
      </c>
      <c r="C287">
        <v>-76449.834147183108</v>
      </c>
    </row>
    <row r="288" spans="1:3">
      <c r="A288">
        <v>264</v>
      </c>
      <c r="B288">
        <v>679923.29630438564</v>
      </c>
      <c r="C288">
        <v>-82954.026304385625</v>
      </c>
    </row>
    <row r="289" spans="1:3">
      <c r="A289">
        <v>265</v>
      </c>
      <c r="B289">
        <v>601788.40825530305</v>
      </c>
      <c r="C289">
        <v>-46230.638255303027</v>
      </c>
    </row>
    <row r="290" spans="1:3">
      <c r="A290">
        <v>266</v>
      </c>
      <c r="B290">
        <v>658873.25797152775</v>
      </c>
      <c r="C290">
        <v>-59968.35797152773</v>
      </c>
    </row>
    <row r="291" spans="1:3">
      <c r="A291">
        <v>267</v>
      </c>
      <c r="B291">
        <v>531252.94082469284</v>
      </c>
      <c r="C291">
        <v>-13203.680824692827</v>
      </c>
    </row>
    <row r="292" spans="1:3">
      <c r="A292">
        <v>268</v>
      </c>
      <c r="B292">
        <v>712390.30458048848</v>
      </c>
      <c r="C292">
        <v>-61910.244580488419</v>
      </c>
    </row>
    <row r="293" spans="1:3">
      <c r="A293">
        <v>269</v>
      </c>
      <c r="B293">
        <v>661013.93983588612</v>
      </c>
      <c r="C293">
        <v>-10218.449835886131</v>
      </c>
    </row>
    <row r="294" spans="1:3">
      <c r="A294">
        <v>270</v>
      </c>
      <c r="B294">
        <v>773756.51802542992</v>
      </c>
      <c r="C294">
        <v>10746.161974570132</v>
      </c>
    </row>
    <row r="295" spans="1:3">
      <c r="A295">
        <v>271</v>
      </c>
      <c r="B295">
        <v>905586.84283883648</v>
      </c>
      <c r="C295">
        <v>41246.697161163553</v>
      </c>
    </row>
    <row r="296" spans="1:3">
      <c r="A296">
        <v>272</v>
      </c>
      <c r="B296">
        <v>805117.50733828102</v>
      </c>
      <c r="C296">
        <v>-78511.227338280994</v>
      </c>
    </row>
    <row r="297" spans="1:3">
      <c r="A297">
        <v>273</v>
      </c>
      <c r="B297">
        <v>709500.38406360452</v>
      </c>
      <c r="C297">
        <v>-30269.524063604535</v>
      </c>
    </row>
    <row r="298" spans="1:3">
      <c r="A298">
        <v>274</v>
      </c>
      <c r="B298">
        <v>799908.51480167545</v>
      </c>
      <c r="C298">
        <v>-78829.164801675477</v>
      </c>
    </row>
    <row r="299" spans="1:3">
      <c r="A299">
        <v>275</v>
      </c>
      <c r="B299">
        <v>863665.15632848395</v>
      </c>
      <c r="C299">
        <v>-64187.396328483941</v>
      </c>
    </row>
    <row r="300" spans="1:3">
      <c r="A300">
        <v>276</v>
      </c>
      <c r="B300">
        <v>536140.83108164452</v>
      </c>
      <c r="C300">
        <v>-35842.351081644534</v>
      </c>
    </row>
    <row r="301" spans="1:3">
      <c r="A301">
        <v>277</v>
      </c>
      <c r="B301">
        <v>604214.51436824258</v>
      </c>
      <c r="C301">
        <v>-46727.254368242575</v>
      </c>
    </row>
    <row r="302" spans="1:3">
      <c r="A302">
        <v>278</v>
      </c>
      <c r="B302">
        <v>759413.94953422854</v>
      </c>
      <c r="C302">
        <v>-35882.549534228514</v>
      </c>
    </row>
    <row r="303" spans="1:3">
      <c r="A303">
        <v>279</v>
      </c>
      <c r="B303">
        <v>674714.30376778007</v>
      </c>
      <c r="C303">
        <v>-23550.123767780024</v>
      </c>
    </row>
    <row r="304" spans="1:3">
      <c r="A304">
        <v>280</v>
      </c>
      <c r="B304">
        <v>750101.98342426936</v>
      </c>
      <c r="C304">
        <v>-65884.663424269413</v>
      </c>
    </row>
    <row r="305" spans="1:3">
      <c r="A305">
        <v>281</v>
      </c>
      <c r="B305">
        <v>742609.5968990149</v>
      </c>
      <c r="C305">
        <v>-83776.976899014902</v>
      </c>
    </row>
    <row r="306" spans="1:3">
      <c r="A306">
        <v>282</v>
      </c>
      <c r="B306">
        <v>554978.83148799872</v>
      </c>
      <c r="C306">
        <v>-27678.701487998711</v>
      </c>
    </row>
    <row r="307" spans="1:3">
      <c r="A307">
        <v>283</v>
      </c>
      <c r="B307">
        <v>773649.483932212</v>
      </c>
      <c r="C307">
        <v>-50588.723932211986</v>
      </c>
    </row>
    <row r="308" spans="1:3">
      <c r="A308">
        <v>284</v>
      </c>
      <c r="B308">
        <v>604214.51436824258</v>
      </c>
      <c r="C308">
        <v>-50202.444368242635</v>
      </c>
    </row>
    <row r="309" spans="1:3">
      <c r="A309">
        <v>285</v>
      </c>
      <c r="B309">
        <v>548556.78589492338</v>
      </c>
      <c r="C309">
        <v>-61091.875894923403</v>
      </c>
    </row>
    <row r="310" spans="1:3">
      <c r="A310">
        <v>286</v>
      </c>
      <c r="B310">
        <v>712069.2023008347</v>
      </c>
      <c r="C310">
        <v>-118726.2023008347</v>
      </c>
    </row>
    <row r="311" spans="1:3">
      <c r="A311">
        <v>287</v>
      </c>
      <c r="B311">
        <v>652879.34875132411</v>
      </c>
      <c r="C311">
        <v>-40489.208751324099</v>
      </c>
    </row>
    <row r="312" spans="1:3">
      <c r="A312">
        <v>288</v>
      </c>
      <c r="B312">
        <v>658944.61403367296</v>
      </c>
      <c r="C312">
        <v>-87981.304033672903</v>
      </c>
    </row>
    <row r="313" spans="1:3">
      <c r="A313">
        <v>289</v>
      </c>
      <c r="B313">
        <v>716707.34634027793</v>
      </c>
      <c r="C313">
        <v>-123070.20634027792</v>
      </c>
    </row>
    <row r="314" spans="1:3">
      <c r="A314">
        <v>290</v>
      </c>
      <c r="B314">
        <v>589907.62390811369</v>
      </c>
      <c r="C314">
        <v>-65008.053908113739</v>
      </c>
    </row>
    <row r="315" spans="1:3">
      <c r="A315">
        <v>291</v>
      </c>
      <c r="B315">
        <v>733690.0891308547</v>
      </c>
      <c r="C315">
        <v>-73056.099130854709</v>
      </c>
    </row>
    <row r="316" spans="1:3">
      <c r="A316">
        <v>292</v>
      </c>
      <c r="B316">
        <v>511130.5312997236</v>
      </c>
      <c r="C316">
        <v>-110298.88129972358</v>
      </c>
    </row>
    <row r="317" spans="1:3">
      <c r="A317">
        <v>293</v>
      </c>
      <c r="B317">
        <v>583878.03665683744</v>
      </c>
      <c r="C317">
        <v>-74393.226656837447</v>
      </c>
    </row>
    <row r="318" spans="1:3">
      <c r="A318">
        <v>294</v>
      </c>
      <c r="B318">
        <v>558261.21034668165</v>
      </c>
      <c r="C318">
        <v>-108796.15034668165</v>
      </c>
    </row>
    <row r="319" spans="1:3">
      <c r="A319">
        <v>295</v>
      </c>
      <c r="B319">
        <v>742645.2749300875</v>
      </c>
      <c r="C319">
        <v>-66727.644930087496</v>
      </c>
    </row>
    <row r="320" spans="1:3">
      <c r="A320">
        <v>296</v>
      </c>
      <c r="B320">
        <v>647599.00015257334</v>
      </c>
      <c r="C320">
        <v>-27334.800152573385</v>
      </c>
    </row>
    <row r="321" spans="1:3">
      <c r="A321">
        <v>297</v>
      </c>
      <c r="B321">
        <v>481053.95110548765</v>
      </c>
      <c r="C321">
        <v>-53136.571105487645</v>
      </c>
    </row>
    <row r="322" spans="1:3">
      <c r="A322">
        <v>298</v>
      </c>
      <c r="B322">
        <v>589907.62390811369</v>
      </c>
      <c r="C322">
        <v>27383.526091886335</v>
      </c>
    </row>
    <row r="323" spans="1:3">
      <c r="A323">
        <v>299</v>
      </c>
      <c r="B323">
        <v>786957.38952230697</v>
      </c>
      <c r="C323">
        <v>-45615.949522307026</v>
      </c>
    </row>
    <row r="324" spans="1:3">
      <c r="A324">
        <v>300</v>
      </c>
      <c r="B324">
        <v>751957.24104004668</v>
      </c>
      <c r="C324">
        <v>-78880.901040046709</v>
      </c>
    </row>
    <row r="325" spans="1:3">
      <c r="A325">
        <v>301</v>
      </c>
      <c r="B325">
        <v>588694.57085164392</v>
      </c>
      <c r="C325">
        <v>-76850.160851643945</v>
      </c>
    </row>
    <row r="326" spans="1:3">
      <c r="A326">
        <v>302</v>
      </c>
      <c r="B326">
        <v>727838.8920349417</v>
      </c>
      <c r="C326">
        <v>-94200.862034941674</v>
      </c>
    </row>
    <row r="327" spans="1:3">
      <c r="A327">
        <v>303</v>
      </c>
      <c r="B327">
        <v>689770.43288043432</v>
      </c>
      <c r="C327">
        <v>-58940.49288043438</v>
      </c>
    </row>
    <row r="328" spans="1:3">
      <c r="A328">
        <v>304</v>
      </c>
      <c r="B328">
        <v>771544.48009892623</v>
      </c>
      <c r="C328">
        <v>-92822.420098926174</v>
      </c>
    </row>
    <row r="329" spans="1:3">
      <c r="A329">
        <v>305</v>
      </c>
      <c r="B329">
        <v>692446.28521088243</v>
      </c>
      <c r="C329">
        <v>-85361.365210882388</v>
      </c>
    </row>
    <row r="330" spans="1:3">
      <c r="A330">
        <v>306</v>
      </c>
      <c r="B330">
        <v>764908.36631941516</v>
      </c>
      <c r="C330">
        <v>35543.573680584785</v>
      </c>
    </row>
    <row r="331" spans="1:3">
      <c r="A331">
        <v>307</v>
      </c>
      <c r="B331">
        <v>514412.91015840648</v>
      </c>
      <c r="C331">
        <v>-73137.490158406494</v>
      </c>
    </row>
    <row r="332" spans="1:3">
      <c r="A332">
        <v>308</v>
      </c>
      <c r="B332">
        <v>783853.40081898728</v>
      </c>
      <c r="C332">
        <v>-92565.21081898734</v>
      </c>
    </row>
    <row r="333" spans="1:3">
      <c r="A333">
        <v>309</v>
      </c>
      <c r="B333">
        <v>749210.03264745336</v>
      </c>
      <c r="C333">
        <v>-114774.03264745336</v>
      </c>
    </row>
    <row r="334" spans="1:3">
      <c r="A334">
        <v>310</v>
      </c>
      <c r="B334">
        <v>789597.56382168236</v>
      </c>
      <c r="C334">
        <v>-64362.283821682329</v>
      </c>
    </row>
    <row r="335" spans="1:3">
      <c r="A335">
        <v>311</v>
      </c>
      <c r="B335">
        <v>498571.86436215416</v>
      </c>
      <c r="C335">
        <v>-96989.28436215414</v>
      </c>
    </row>
    <row r="336" spans="1:3">
      <c r="A336">
        <v>312</v>
      </c>
      <c r="B336">
        <v>547093.98662094516</v>
      </c>
      <c r="C336">
        <v>-131372.16662094515</v>
      </c>
    </row>
    <row r="337" spans="1:3">
      <c r="A337">
        <v>313</v>
      </c>
      <c r="B337">
        <v>602573.324938901</v>
      </c>
      <c r="C337">
        <v>-48816.89493890095</v>
      </c>
    </row>
    <row r="338" spans="1:3">
      <c r="A338">
        <v>314</v>
      </c>
      <c r="B338">
        <v>563398.84682114189</v>
      </c>
      <c r="C338">
        <v>-99864.596821141895</v>
      </c>
    </row>
    <row r="339" spans="1:3">
      <c r="A339">
        <v>315</v>
      </c>
      <c r="B339">
        <v>639071.95072621224</v>
      </c>
      <c r="C339">
        <v>-11900.050726212212</v>
      </c>
    </row>
    <row r="340" spans="1:3">
      <c r="A340">
        <v>316</v>
      </c>
      <c r="B340">
        <v>653485.87527955906</v>
      </c>
      <c r="C340">
        <v>-115109.87527955906</v>
      </c>
    </row>
    <row r="341" spans="1:3">
      <c r="A341">
        <v>317</v>
      </c>
      <c r="B341">
        <v>782818.73791788064</v>
      </c>
      <c r="C341">
        <v>-140953.70791788062</v>
      </c>
    </row>
    <row r="342" spans="1:3">
      <c r="A342">
        <v>318</v>
      </c>
      <c r="B342">
        <v>782890.09398002597</v>
      </c>
      <c r="C342">
        <v>-123969.79398002592</v>
      </c>
    </row>
    <row r="343" spans="1:3">
      <c r="A343">
        <v>319</v>
      </c>
      <c r="B343">
        <v>629974.05280268891</v>
      </c>
      <c r="C343">
        <v>-34506.452802688931</v>
      </c>
    </row>
    <row r="344" spans="1:3" ht="15" thickBot="1">
      <c r="A344" s="5">
        <v>320</v>
      </c>
      <c r="B344" s="5">
        <v>789918.66610133613</v>
      </c>
      <c r="C344" s="5">
        <v>-104539.58610133617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42F0E-E475-47B3-B98B-A221A5CDA43D}">
  <dimension ref="A1:I352"/>
  <sheetViews>
    <sheetView topLeftCell="A7" zoomScaleNormal="100" workbookViewId="0">
      <selection activeCell="I8" sqref="I8"/>
    </sheetView>
  </sheetViews>
  <sheetFormatPr defaultRowHeight="14.5"/>
  <cols>
    <col min="1" max="1" width="21.453125" customWidth="1"/>
    <col min="2" max="2" width="17.453125" customWidth="1"/>
    <col min="3" max="3" width="14.26953125" customWidth="1"/>
    <col min="4" max="4" width="19.08984375" customWidth="1"/>
    <col min="5" max="5" width="15.7265625" customWidth="1"/>
    <col min="6" max="6" width="17.90625" customWidth="1"/>
    <col min="9" max="9" width="31.36328125" customWidth="1"/>
  </cols>
  <sheetData>
    <row r="1" spans="1:9">
      <c r="A1" t="s">
        <v>105</v>
      </c>
    </row>
    <row r="2" spans="1:9" ht="15" thickBot="1"/>
    <row r="3" spans="1:9">
      <c r="A3" s="7" t="s">
        <v>106</v>
      </c>
      <c r="B3" s="7"/>
    </row>
    <row r="4" spans="1:9">
      <c r="A4" t="s">
        <v>107</v>
      </c>
      <c r="B4">
        <v>0.90713332975229699</v>
      </c>
    </row>
    <row r="5" spans="1:9">
      <c r="A5" t="s">
        <v>108</v>
      </c>
      <c r="B5">
        <v>0.8228908779474895</v>
      </c>
    </row>
    <row r="6" spans="1:9">
      <c r="A6" t="s">
        <v>109</v>
      </c>
      <c r="B6">
        <v>0.81774900021048103</v>
      </c>
    </row>
    <row r="7" spans="1:9">
      <c r="A7" t="s">
        <v>110</v>
      </c>
      <c r="B7">
        <v>44301.01206963577</v>
      </c>
    </row>
    <row r="8" spans="1:9" ht="15" thickBot="1">
      <c r="A8" s="5" t="s">
        <v>111</v>
      </c>
      <c r="B8" s="5">
        <v>320</v>
      </c>
    </row>
    <row r="10" spans="1:9" ht="15" thickBot="1">
      <c r="A10" t="s">
        <v>112</v>
      </c>
    </row>
    <row r="11" spans="1:9">
      <c r="A11" s="6"/>
      <c r="B11" s="6" t="s">
        <v>117</v>
      </c>
      <c r="C11" s="6" t="s">
        <v>118</v>
      </c>
      <c r="D11" s="6" t="s">
        <v>119</v>
      </c>
      <c r="E11" s="6" t="s">
        <v>120</v>
      </c>
      <c r="F11" s="6" t="s">
        <v>121</v>
      </c>
    </row>
    <row r="12" spans="1:9">
      <c r="A12" t="s">
        <v>113</v>
      </c>
      <c r="B12">
        <v>9</v>
      </c>
      <c r="C12">
        <v>2826768918968.5947</v>
      </c>
      <c r="D12">
        <v>314085435440.95496</v>
      </c>
      <c r="E12">
        <v>160.03703705842329</v>
      </c>
      <c r="F12">
        <v>6.3905101465694855E-111</v>
      </c>
    </row>
    <row r="13" spans="1:9">
      <c r="A13" t="s">
        <v>114</v>
      </c>
      <c r="B13">
        <v>310</v>
      </c>
      <c r="C13">
        <v>608399697822.14429</v>
      </c>
      <c r="D13">
        <v>1962579670.3940139</v>
      </c>
    </row>
    <row r="14" spans="1:9" ht="15" thickBot="1">
      <c r="A14" s="5" t="s">
        <v>115</v>
      </c>
      <c r="B14" s="5">
        <v>319</v>
      </c>
      <c r="C14" s="5">
        <v>3435168616790.7393</v>
      </c>
      <c r="D14" s="5"/>
      <c r="E14" s="5"/>
      <c r="F14" s="5"/>
    </row>
    <row r="15" spans="1:9" ht="15" thickBot="1"/>
    <row r="16" spans="1:9">
      <c r="A16" s="6"/>
      <c r="B16" s="6" t="s">
        <v>122</v>
      </c>
      <c r="C16" s="6" t="s">
        <v>110</v>
      </c>
      <c r="D16" s="6" t="s">
        <v>123</v>
      </c>
      <c r="E16" s="6" t="s">
        <v>124</v>
      </c>
      <c r="F16" s="6" t="s">
        <v>125</v>
      </c>
      <c r="G16" s="6" t="s">
        <v>126</v>
      </c>
      <c r="H16" s="6" t="s">
        <v>127</v>
      </c>
      <c r="I16" s="6" t="s">
        <v>128</v>
      </c>
    </row>
    <row r="17" spans="1:9">
      <c r="A17" t="s">
        <v>116</v>
      </c>
      <c r="B17">
        <v>67872.24451972403</v>
      </c>
      <c r="C17">
        <v>44881.133856826913</v>
      </c>
      <c r="D17">
        <v>1.5122667073483465</v>
      </c>
      <c r="E17">
        <v>0.13148477010246043</v>
      </c>
      <c r="F17">
        <v>-20437.935792594173</v>
      </c>
      <c r="G17">
        <v>156182.42483204225</v>
      </c>
      <c r="H17">
        <v>-20437.935792594173</v>
      </c>
      <c r="I17">
        <v>156182.42483204225</v>
      </c>
    </row>
    <row r="18" spans="1:9">
      <c r="A18" t="s">
        <v>4</v>
      </c>
      <c r="B18">
        <v>1.1917855861714062</v>
      </c>
      <c r="C18">
        <v>0.12873930401405168</v>
      </c>
      <c r="D18">
        <v>9.2573561376510529</v>
      </c>
      <c r="E18">
        <v>3.5707710350164892E-18</v>
      </c>
      <c r="F18">
        <v>0.93847221875446629</v>
      </c>
      <c r="G18">
        <v>1.4450989535883461</v>
      </c>
      <c r="H18">
        <v>0.93847221875446629</v>
      </c>
      <c r="I18">
        <v>1.4450989535883461</v>
      </c>
    </row>
    <row r="19" spans="1:9">
      <c r="A19" t="s">
        <v>5</v>
      </c>
      <c r="B19">
        <v>28.843843823878547</v>
      </c>
      <c r="C19">
        <v>2.5394415645367125</v>
      </c>
      <c r="D19">
        <v>11.358341230088799</v>
      </c>
      <c r="E19">
        <v>3.1317273499360752E-25</v>
      </c>
      <c r="F19">
        <v>23.847121968048686</v>
      </c>
      <c r="G19">
        <v>33.840565679708405</v>
      </c>
      <c r="H19">
        <v>23.847121968048686</v>
      </c>
      <c r="I19">
        <v>33.840565679708405</v>
      </c>
    </row>
    <row r="20" spans="1:9">
      <c r="A20" t="s">
        <v>8</v>
      </c>
      <c r="B20">
        <v>2946.8159118767953</v>
      </c>
      <c r="C20">
        <v>466.7979717705681</v>
      </c>
      <c r="D20">
        <v>6.3128292967930024</v>
      </c>
      <c r="E20">
        <v>9.4715650366761005E-10</v>
      </c>
      <c r="F20">
        <v>2028.3227831606896</v>
      </c>
      <c r="G20">
        <v>3865.3090405929011</v>
      </c>
      <c r="H20">
        <v>2028.3227831606896</v>
      </c>
      <c r="I20">
        <v>3865.3090405929011</v>
      </c>
    </row>
    <row r="21" spans="1:9">
      <c r="A21" t="s">
        <v>7</v>
      </c>
      <c r="B21">
        <v>2577.1058814730277</v>
      </c>
      <c r="C21">
        <v>1276.0550122518443</v>
      </c>
      <c r="D21">
        <v>2.0195883850847691</v>
      </c>
      <c r="E21">
        <v>4.4286250444543145E-2</v>
      </c>
      <c r="F21">
        <v>66.281431719145075</v>
      </c>
      <c r="G21">
        <v>5087.9303312269103</v>
      </c>
      <c r="H21">
        <v>66.281431719145075</v>
      </c>
      <c r="I21">
        <v>5087.9303312269103</v>
      </c>
    </row>
    <row r="22" spans="1:9">
      <c r="A22" t="s">
        <v>134</v>
      </c>
      <c r="B22">
        <v>10386.386442542838</v>
      </c>
      <c r="C22">
        <v>3113.487026535784</v>
      </c>
      <c r="D22">
        <v>3.335933746959991</v>
      </c>
      <c r="E22">
        <v>9.5347796024236153E-4</v>
      </c>
      <c r="F22">
        <v>4260.1463704771177</v>
      </c>
      <c r="G22">
        <v>16512.626514608557</v>
      </c>
      <c r="H22">
        <v>4260.1463704771177</v>
      </c>
      <c r="I22">
        <v>16512.626514608557</v>
      </c>
    </row>
    <row r="23" spans="1:9">
      <c r="A23" t="s">
        <v>10</v>
      </c>
      <c r="B23">
        <v>12885.250577509625</v>
      </c>
      <c r="C23">
        <v>6771.827483137221</v>
      </c>
      <c r="D23">
        <v>1.9027730120998603</v>
      </c>
      <c r="E23">
        <v>5.7996518577555049E-2</v>
      </c>
      <c r="F23">
        <v>-439.30820007113289</v>
      </c>
      <c r="G23">
        <v>26209.809355090383</v>
      </c>
      <c r="H23">
        <v>-439.30820007113289</v>
      </c>
      <c r="I23">
        <v>26209.809355090383</v>
      </c>
    </row>
    <row r="24" spans="1:9">
      <c r="A24" t="s">
        <v>135</v>
      </c>
      <c r="B24">
        <v>9508.7935389084778</v>
      </c>
      <c r="C24">
        <v>7098.2120914030893</v>
      </c>
      <c r="D24">
        <v>1.3396040321794462</v>
      </c>
      <c r="E24">
        <v>0.18135533264599626</v>
      </c>
      <c r="F24">
        <v>-4457.9745843423625</v>
      </c>
      <c r="G24">
        <v>23475.561662159318</v>
      </c>
      <c r="H24">
        <v>-4457.9745843423625</v>
      </c>
      <c r="I24">
        <v>23475.561662159318</v>
      </c>
    </row>
    <row r="25" spans="1:9">
      <c r="A25" t="s">
        <v>136</v>
      </c>
      <c r="B25">
        <v>23759.380973247957</v>
      </c>
      <c r="C25">
        <v>7206.1727647263579</v>
      </c>
      <c r="D25">
        <v>3.2970873373378216</v>
      </c>
      <c r="E25">
        <v>1.0904299160088883E-3</v>
      </c>
      <c r="F25">
        <v>9580.1844706644752</v>
      </c>
      <c r="G25">
        <v>37938.577475831436</v>
      </c>
      <c r="H25">
        <v>9580.1844706644752</v>
      </c>
      <c r="I25">
        <v>37938.577475831436</v>
      </c>
    </row>
    <row r="26" spans="1:9" ht="15" thickBot="1">
      <c r="A26" s="5" t="s">
        <v>137</v>
      </c>
      <c r="B26" s="5">
        <v>18572.098949330786</v>
      </c>
      <c r="C26" s="5">
        <v>6408.686715619403</v>
      </c>
      <c r="D26" s="5">
        <v>2.8979570656912323</v>
      </c>
      <c r="E26" s="5">
        <v>4.0237018847256636E-3</v>
      </c>
      <c r="F26" s="5">
        <v>5962.0726245297192</v>
      </c>
      <c r="G26" s="5">
        <v>31182.125274131853</v>
      </c>
      <c r="H26" s="5">
        <v>5962.0726245297192</v>
      </c>
      <c r="I26" s="5">
        <v>31182.125274131853</v>
      </c>
    </row>
    <row r="30" spans="1:9">
      <c r="A30" t="s">
        <v>129</v>
      </c>
    </row>
    <row r="31" spans="1:9" ht="15" thickBot="1"/>
    <row r="32" spans="1:9">
      <c r="A32" s="6" t="s">
        <v>130</v>
      </c>
      <c r="B32" s="6" t="s">
        <v>131</v>
      </c>
      <c r="C32" s="6" t="s">
        <v>132</v>
      </c>
    </row>
    <row r="33" spans="1:3">
      <c r="A33">
        <v>1</v>
      </c>
      <c r="B33">
        <v>701127.60459219082</v>
      </c>
      <c r="C33">
        <v>-42294.984592190827</v>
      </c>
    </row>
    <row r="34" spans="1:3">
      <c r="A34">
        <v>2</v>
      </c>
      <c r="B34">
        <v>701969.97490268829</v>
      </c>
      <c r="C34">
        <v>-67533.974902688293</v>
      </c>
    </row>
    <row r="35" spans="1:3">
      <c r="A35">
        <v>3</v>
      </c>
      <c r="B35">
        <v>746238.42572565121</v>
      </c>
      <c r="C35">
        <v>-67516.365725651151</v>
      </c>
    </row>
    <row r="36" spans="1:3">
      <c r="A36">
        <v>4</v>
      </c>
      <c r="B36">
        <v>758324.8996556222</v>
      </c>
      <c r="C36">
        <v>-99404.599655622151</v>
      </c>
    </row>
    <row r="37" spans="1:3">
      <c r="A37">
        <v>5</v>
      </c>
      <c r="B37">
        <v>799120.75050544832</v>
      </c>
      <c r="C37">
        <v>-57779.310505448375</v>
      </c>
    </row>
    <row r="38" spans="1:3">
      <c r="A38">
        <v>6</v>
      </c>
      <c r="B38">
        <v>770839.0696116375</v>
      </c>
      <c r="C38">
        <v>-9003.7296116375364</v>
      </c>
    </row>
    <row r="39" spans="1:3">
      <c r="A39">
        <v>7</v>
      </c>
      <c r="B39">
        <v>792389.49422751646</v>
      </c>
      <c r="C39">
        <v>14226.045772483572</v>
      </c>
    </row>
    <row r="40" spans="1:3">
      <c r="A40">
        <v>8</v>
      </c>
      <c r="B40">
        <v>777691.82198902371</v>
      </c>
      <c r="C40">
        <v>72472.438010976301</v>
      </c>
    </row>
    <row r="41" spans="1:3">
      <c r="A41">
        <v>9</v>
      </c>
      <c r="B41">
        <v>860120.27904573584</v>
      </c>
      <c r="C41">
        <v>70461.420954264118</v>
      </c>
    </row>
    <row r="42" spans="1:3">
      <c r="A42">
        <v>10</v>
      </c>
      <c r="B42">
        <v>779636.80759611516</v>
      </c>
      <c r="C42">
        <v>-625.86759611521848</v>
      </c>
    </row>
    <row r="43" spans="1:3">
      <c r="A43">
        <v>11</v>
      </c>
      <c r="B43">
        <v>752051.08617840637</v>
      </c>
      <c r="C43">
        <v>-28990.326178406365</v>
      </c>
    </row>
    <row r="44" spans="1:3">
      <c r="A44">
        <v>12</v>
      </c>
      <c r="B44">
        <v>845305.47578044853</v>
      </c>
      <c r="C44">
        <v>65486.464219551417</v>
      </c>
    </row>
    <row r="45" spans="1:3">
      <c r="A45">
        <v>13</v>
      </c>
      <c r="B45">
        <v>896532.34439825919</v>
      </c>
      <c r="C45">
        <v>25636.255601740791</v>
      </c>
    </row>
    <row r="46" spans="1:3">
      <c r="A46">
        <v>14</v>
      </c>
      <c r="B46">
        <v>780967.42708493257</v>
      </c>
      <c r="C46">
        <v>-54361.147084932541</v>
      </c>
    </row>
    <row r="47" spans="1:3">
      <c r="A47">
        <v>15</v>
      </c>
      <c r="B47">
        <v>761449.67577718874</v>
      </c>
      <c r="C47">
        <v>-14948.585777188768</v>
      </c>
    </row>
    <row r="48" spans="1:3">
      <c r="A48">
        <v>16</v>
      </c>
      <c r="B48">
        <v>812347.06485567556</v>
      </c>
      <c r="C48">
        <v>21669.955144324456</v>
      </c>
    </row>
    <row r="49" spans="1:3">
      <c r="A49">
        <v>17</v>
      </c>
      <c r="B49">
        <v>688868.77082952007</v>
      </c>
      <c r="C49">
        <v>-22716.250829520053</v>
      </c>
    </row>
    <row r="50" spans="1:3">
      <c r="A50">
        <v>18</v>
      </c>
      <c r="B50">
        <v>603774.81082570751</v>
      </c>
      <c r="C50">
        <v>-30619.620825707563</v>
      </c>
    </row>
    <row r="51" spans="1:3">
      <c r="A51">
        <v>19</v>
      </c>
      <c r="B51">
        <v>701777.49780297861</v>
      </c>
      <c r="C51">
        <v>-35204.297802978661</v>
      </c>
    </row>
    <row r="52" spans="1:3">
      <c r="A52">
        <v>20</v>
      </c>
      <c r="B52">
        <v>624329.90542572632</v>
      </c>
      <c r="C52">
        <v>-32709.955425726366</v>
      </c>
    </row>
    <row r="53" spans="1:3">
      <c r="A53">
        <v>21</v>
      </c>
      <c r="B53">
        <v>519972.41675652482</v>
      </c>
      <c r="C53">
        <v>-104250.59675652481</v>
      </c>
    </row>
    <row r="54" spans="1:3">
      <c r="A54">
        <v>22</v>
      </c>
      <c r="B54">
        <v>511848.13632328273</v>
      </c>
      <c r="C54">
        <v>-19943.006323282723</v>
      </c>
    </row>
    <row r="55" spans="1:3">
      <c r="A55">
        <v>23</v>
      </c>
      <c r="B55">
        <v>560589.280459787</v>
      </c>
      <c r="C55">
        <v>-4659.8804597869748</v>
      </c>
    </row>
    <row r="56" spans="1:3">
      <c r="A56">
        <v>24</v>
      </c>
      <c r="B56">
        <v>577855.76025750709</v>
      </c>
      <c r="C56">
        <v>-12044.770257507102</v>
      </c>
    </row>
    <row r="57" spans="1:3">
      <c r="A57">
        <v>25</v>
      </c>
      <c r="B57">
        <v>830070.97120489145</v>
      </c>
      <c r="C57">
        <v>-18299.831204891438</v>
      </c>
    </row>
    <row r="58" spans="1:3">
      <c r="A58">
        <v>26</v>
      </c>
      <c r="B58">
        <v>900634.43697516969</v>
      </c>
      <c r="C58">
        <v>-100182.49697516975</v>
      </c>
    </row>
    <row r="59" spans="1:3">
      <c r="A59">
        <v>27</v>
      </c>
      <c r="B59">
        <v>792626.7211102104</v>
      </c>
      <c r="C59">
        <v>-8953.901110210456</v>
      </c>
    </row>
    <row r="60" spans="1:3">
      <c r="A60">
        <v>28</v>
      </c>
      <c r="B60">
        <v>685393.74748351693</v>
      </c>
      <c r="C60">
        <v>16248.222516483045</v>
      </c>
    </row>
    <row r="61" spans="1:3">
      <c r="A61">
        <v>29</v>
      </c>
      <c r="B61">
        <v>580877.23220665869</v>
      </c>
      <c r="C61">
        <v>-69032.822206658719</v>
      </c>
    </row>
    <row r="62" spans="1:3">
      <c r="A62">
        <v>30</v>
      </c>
      <c r="B62">
        <v>525340.29064859613</v>
      </c>
      <c r="C62">
        <v>12043.499351403909</v>
      </c>
    </row>
    <row r="63" spans="1:3">
      <c r="A63">
        <v>31</v>
      </c>
      <c r="B63">
        <v>530544.1947530316</v>
      </c>
      <c r="C63">
        <v>-30371.174753031577</v>
      </c>
    </row>
    <row r="64" spans="1:3">
      <c r="A64">
        <v>32</v>
      </c>
      <c r="B64">
        <v>494281.0075600514</v>
      </c>
      <c r="C64">
        <v>-66363.627560051391</v>
      </c>
    </row>
    <row r="65" spans="1:3">
      <c r="A65">
        <v>33</v>
      </c>
      <c r="B65">
        <v>757630.36033317074</v>
      </c>
      <c r="C65">
        <v>-115765.33033317071</v>
      </c>
    </row>
    <row r="66" spans="1:3">
      <c r="A66">
        <v>34</v>
      </c>
      <c r="B66">
        <v>816653.04535401659</v>
      </c>
      <c r="C66">
        <v>-17175.285354016582</v>
      </c>
    </row>
    <row r="67" spans="1:3">
      <c r="A67">
        <v>35</v>
      </c>
      <c r="B67">
        <v>805639.441252182</v>
      </c>
      <c r="C67">
        <v>-6687.2712521819631</v>
      </c>
    </row>
    <row r="68" spans="1:3">
      <c r="A68">
        <v>36</v>
      </c>
      <c r="B68">
        <v>834988.551649353</v>
      </c>
      <c r="C68">
        <v>-34008.771649352973</v>
      </c>
    </row>
    <row r="69" spans="1:3">
      <c r="A69">
        <v>37</v>
      </c>
      <c r="B69">
        <v>777516.17533715151</v>
      </c>
      <c r="C69">
        <v>43077.754662848543</v>
      </c>
    </row>
    <row r="70" spans="1:3">
      <c r="A70">
        <v>38</v>
      </c>
      <c r="B70">
        <v>747815.30358634854</v>
      </c>
      <c r="C70">
        <v>-29484.773586348514</v>
      </c>
    </row>
    <row r="71" spans="1:3">
      <c r="A71">
        <v>39</v>
      </c>
      <c r="B71">
        <v>741590.22135407175</v>
      </c>
      <c r="C71">
        <v>-4956.8213540717261</v>
      </c>
    </row>
    <row r="72" spans="1:3">
      <c r="A72">
        <v>40</v>
      </c>
      <c r="B72">
        <v>822695.65582215996</v>
      </c>
      <c r="C72">
        <v>5928.1941778400214</v>
      </c>
    </row>
    <row r="73" spans="1:3">
      <c r="A73">
        <v>41</v>
      </c>
      <c r="B73">
        <v>576249.00143530068</v>
      </c>
      <c r="C73">
        <v>15946.848564699292</v>
      </c>
    </row>
    <row r="74" spans="1:3">
      <c r="A74">
        <v>42</v>
      </c>
      <c r="B74">
        <v>509582.18281910877</v>
      </c>
      <c r="C74">
        <v>23062.277180891193</v>
      </c>
    </row>
    <row r="75" spans="1:3">
      <c r="A75">
        <v>43</v>
      </c>
      <c r="B75">
        <v>596340.83279779996</v>
      </c>
      <c r="C75">
        <v>61088.347202200093</v>
      </c>
    </row>
    <row r="76" spans="1:3">
      <c r="A76">
        <v>44</v>
      </c>
      <c r="B76">
        <v>586102.75955885684</v>
      </c>
      <c r="C76">
        <v>19075.240441143163</v>
      </c>
    </row>
    <row r="77" spans="1:3">
      <c r="A77">
        <v>45</v>
      </c>
      <c r="B77">
        <v>737288.31535010133</v>
      </c>
      <c r="C77">
        <v>-141820.71535010135</v>
      </c>
    </row>
    <row r="78" spans="1:3">
      <c r="A78">
        <v>46</v>
      </c>
      <c r="B78">
        <v>653909.33784718707</v>
      </c>
      <c r="C78">
        <v>-54305.937847187044</v>
      </c>
    </row>
    <row r="79" spans="1:3">
      <c r="A79">
        <v>47</v>
      </c>
      <c r="B79">
        <v>598143.04440394614</v>
      </c>
      <c r="C79">
        <v>16657.045596053824</v>
      </c>
    </row>
    <row r="80" spans="1:3">
      <c r="A80">
        <v>48</v>
      </c>
      <c r="B80">
        <v>586372.45871378609</v>
      </c>
      <c r="C80">
        <v>-1006.7287137861131</v>
      </c>
    </row>
    <row r="81" spans="1:3">
      <c r="A81">
        <v>49</v>
      </c>
      <c r="B81">
        <v>656940.50747392001</v>
      </c>
      <c r="C81">
        <v>-34128.767473920016</v>
      </c>
    </row>
    <row r="82" spans="1:3">
      <c r="A82">
        <v>50</v>
      </c>
      <c r="B82">
        <v>590048.76270154584</v>
      </c>
      <c r="C82">
        <v>13248.807298454107</v>
      </c>
    </row>
    <row r="83" spans="1:3">
      <c r="A83">
        <v>51</v>
      </c>
      <c r="B83">
        <v>598063.60625282733</v>
      </c>
      <c r="C83">
        <v>27609.253747172654</v>
      </c>
    </row>
    <row r="84" spans="1:3">
      <c r="A84">
        <v>52</v>
      </c>
      <c r="B84">
        <v>735436.95581399975</v>
      </c>
      <c r="C84">
        <v>38378.184186000261</v>
      </c>
    </row>
    <row r="85" spans="1:3">
      <c r="A85">
        <v>53</v>
      </c>
      <c r="B85">
        <v>556323.80987018743</v>
      </c>
      <c r="C85">
        <v>-92789.559870187426</v>
      </c>
    </row>
    <row r="86" spans="1:3">
      <c r="A86">
        <v>54</v>
      </c>
      <c r="B86">
        <v>721554.52761541202</v>
      </c>
      <c r="C86">
        <v>25123.222384587978</v>
      </c>
    </row>
    <row r="87" spans="1:3">
      <c r="A87">
        <v>55</v>
      </c>
      <c r="B87">
        <v>682375.35685226379</v>
      </c>
      <c r="C87">
        <v>38477.143147736206</v>
      </c>
    </row>
    <row r="88" spans="1:3">
      <c r="A88">
        <v>56</v>
      </c>
      <c r="B88">
        <v>541403.37879259803</v>
      </c>
      <c r="C88">
        <v>-53938.468792598054</v>
      </c>
    </row>
    <row r="89" spans="1:3">
      <c r="A89">
        <v>57</v>
      </c>
      <c r="B89">
        <v>506177.67608874815</v>
      </c>
      <c r="C89">
        <v>11871.583911251859</v>
      </c>
    </row>
    <row r="90" spans="1:3">
      <c r="A90">
        <v>58</v>
      </c>
      <c r="B90">
        <v>504526.25461521087</v>
      </c>
      <c r="C90">
        <v>-4227.7746152108884</v>
      </c>
    </row>
    <row r="91" spans="1:3">
      <c r="A91">
        <v>59</v>
      </c>
      <c r="B91">
        <v>642811.60908064176</v>
      </c>
      <c r="C91">
        <v>-25520.45908064174</v>
      </c>
    </row>
    <row r="92" spans="1:3">
      <c r="A92">
        <v>60</v>
      </c>
      <c r="B92">
        <v>586594.49241484818</v>
      </c>
      <c r="C92">
        <v>-32838.062414848129</v>
      </c>
    </row>
    <row r="93" spans="1:3">
      <c r="A93">
        <v>61</v>
      </c>
      <c r="B93">
        <v>695330.23679208604</v>
      </c>
      <c r="C93">
        <v>54229.473207913921</v>
      </c>
    </row>
    <row r="94" spans="1:3">
      <c r="A94">
        <v>62</v>
      </c>
      <c r="B94">
        <v>574658.67984315031</v>
      </c>
      <c r="C94">
        <v>41307.800156849669</v>
      </c>
    </row>
    <row r="95" spans="1:3">
      <c r="A95">
        <v>63</v>
      </c>
      <c r="B95">
        <v>581386.09277679387</v>
      </c>
      <c r="C95">
        <v>-9374.8927767939167</v>
      </c>
    </row>
    <row r="96" spans="1:3">
      <c r="A96">
        <v>64</v>
      </c>
      <c r="B96">
        <v>720525.61067808245</v>
      </c>
      <c r="C96">
        <v>41334.579321917496</v>
      </c>
    </row>
    <row r="97" spans="1:3">
      <c r="A97">
        <v>65</v>
      </c>
      <c r="B97">
        <v>822274.23543763557</v>
      </c>
      <c r="C97">
        <v>-37771.555437635514</v>
      </c>
    </row>
    <row r="98" spans="1:3">
      <c r="A98">
        <v>66</v>
      </c>
      <c r="B98">
        <v>735139.55656197376</v>
      </c>
      <c r="C98">
        <v>-17998.006561973714</v>
      </c>
    </row>
    <row r="99" spans="1:3">
      <c r="A99">
        <v>67</v>
      </c>
      <c r="B99">
        <v>848114.99020318245</v>
      </c>
      <c r="C99">
        <v>-162735.91020318249</v>
      </c>
    </row>
    <row r="100" spans="1:3">
      <c r="A100">
        <v>68</v>
      </c>
      <c r="B100">
        <v>725452.0099059128</v>
      </c>
      <c r="C100">
        <v>15044.640094087226</v>
      </c>
    </row>
    <row r="101" spans="1:3">
      <c r="A101">
        <v>69</v>
      </c>
      <c r="B101">
        <v>593588.26832130051</v>
      </c>
      <c r="C101">
        <v>68338.871678699506</v>
      </c>
    </row>
    <row r="102" spans="1:3">
      <c r="A102">
        <v>70</v>
      </c>
      <c r="B102">
        <v>497162.21855195408</v>
      </c>
      <c r="C102">
        <v>-18111.71855195408</v>
      </c>
    </row>
    <row r="103" spans="1:3">
      <c r="A103">
        <v>71</v>
      </c>
      <c r="B103">
        <v>575170.21291578817</v>
      </c>
      <c r="C103">
        <v>29853.657084211824</v>
      </c>
    </row>
    <row r="104" spans="1:3">
      <c r="A104">
        <v>72</v>
      </c>
      <c r="B104">
        <v>618323.08382303326</v>
      </c>
      <c r="C104">
        <v>56451.006176966708</v>
      </c>
    </row>
    <row r="105" spans="1:3">
      <c r="A105">
        <v>73</v>
      </c>
      <c r="B105">
        <v>606082.55566399568</v>
      </c>
      <c r="C105">
        <v>9986.854336004355</v>
      </c>
    </row>
    <row r="106" spans="1:3">
      <c r="A106">
        <v>74</v>
      </c>
      <c r="B106">
        <v>702123.87372760684</v>
      </c>
      <c r="C106">
        <v>-71293.933727606898</v>
      </c>
    </row>
    <row r="107" spans="1:3">
      <c r="A107">
        <v>75</v>
      </c>
      <c r="B107">
        <v>731218.37463983975</v>
      </c>
      <c r="C107">
        <v>56869.305360160302</v>
      </c>
    </row>
    <row r="108" spans="1:3">
      <c r="A108">
        <v>76</v>
      </c>
      <c r="B108">
        <v>725258.17829407926</v>
      </c>
      <c r="C108">
        <v>-44417.818294079276</v>
      </c>
    </row>
    <row r="109" spans="1:3">
      <c r="A109">
        <v>77</v>
      </c>
      <c r="B109">
        <v>665434.99953856901</v>
      </c>
      <c r="C109">
        <v>-21777.529538569041</v>
      </c>
    </row>
    <row r="110" spans="1:3">
      <c r="A110">
        <v>78</v>
      </c>
      <c r="B110">
        <v>641699.12845484284</v>
      </c>
      <c r="C110">
        <v>49413.471545157139</v>
      </c>
    </row>
    <row r="111" spans="1:3">
      <c r="A111">
        <v>79</v>
      </c>
      <c r="B111">
        <v>724676.63260248245</v>
      </c>
      <c r="C111">
        <v>52245.53739751759</v>
      </c>
    </row>
    <row r="112" spans="1:3">
      <c r="A112">
        <v>80</v>
      </c>
      <c r="B112">
        <v>665795.95763197623</v>
      </c>
      <c r="C112">
        <v>-29234.61763197626</v>
      </c>
    </row>
    <row r="113" spans="1:3">
      <c r="A113">
        <v>81</v>
      </c>
      <c r="B113">
        <v>648718.46961005055</v>
      </c>
      <c r="C113">
        <v>-27348.889610050595</v>
      </c>
    </row>
    <row r="114" spans="1:3">
      <c r="A114">
        <v>82</v>
      </c>
      <c r="B114">
        <v>624667.46388064907</v>
      </c>
      <c r="C114">
        <v>57540.54611935094</v>
      </c>
    </row>
    <row r="115" spans="1:3">
      <c r="A115">
        <v>83</v>
      </c>
      <c r="B115">
        <v>650176.71028722264</v>
      </c>
      <c r="C115">
        <v>77065.149712777347</v>
      </c>
    </row>
    <row r="116" spans="1:3">
      <c r="A116">
        <v>84</v>
      </c>
      <c r="B116">
        <v>543164.28940497094</v>
      </c>
      <c r="C116">
        <v>25936.490595029085</v>
      </c>
    </row>
    <row r="117" spans="1:3">
      <c r="A117">
        <v>85</v>
      </c>
      <c r="B117">
        <v>562202.52948498912</v>
      </c>
      <c r="C117">
        <v>12233.760515010916</v>
      </c>
    </row>
    <row r="118" spans="1:3">
      <c r="A118">
        <v>86</v>
      </c>
      <c r="B118">
        <v>606501.65141020424</v>
      </c>
      <c r="C118">
        <v>5265.0685897957301</v>
      </c>
    </row>
    <row r="119" spans="1:3">
      <c r="A119">
        <v>87</v>
      </c>
      <c r="B119">
        <v>622743.32119079935</v>
      </c>
      <c r="C119">
        <v>-8147.0011907994049</v>
      </c>
    </row>
    <row r="120" spans="1:3">
      <c r="A120">
        <v>88</v>
      </c>
      <c r="B120">
        <v>471003.35240855091</v>
      </c>
      <c r="C120">
        <v>-20291.432408550929</v>
      </c>
    </row>
    <row r="121" spans="1:3">
      <c r="A121">
        <v>89</v>
      </c>
      <c r="B121">
        <v>689682.49832605873</v>
      </c>
      <c r="C121">
        <v>21530.96167394123</v>
      </c>
    </row>
    <row r="122" spans="1:3">
      <c r="A122">
        <v>90</v>
      </c>
      <c r="B122">
        <v>750111.05352883728</v>
      </c>
      <c r="C122">
        <v>-122939.15352883725</v>
      </c>
    </row>
    <row r="123" spans="1:3">
      <c r="A123">
        <v>91</v>
      </c>
      <c r="B123">
        <v>725357.97091895191</v>
      </c>
      <c r="C123">
        <v>14494.609081048053</v>
      </c>
    </row>
    <row r="124" spans="1:3">
      <c r="A124">
        <v>92</v>
      </c>
      <c r="B124">
        <v>558180.28621854854</v>
      </c>
      <c r="C124">
        <v>28126.933781451429</v>
      </c>
    </row>
    <row r="125" spans="1:3">
      <c r="A125">
        <v>93</v>
      </c>
      <c r="B125">
        <v>615252.84512346936</v>
      </c>
      <c r="C125">
        <v>-29315.365123469383</v>
      </c>
    </row>
    <row r="126" spans="1:3">
      <c r="A126">
        <v>94</v>
      </c>
      <c r="B126">
        <v>709477.10508241726</v>
      </c>
      <c r="C126">
        <v>43996.44491758279</v>
      </c>
    </row>
    <row r="127" spans="1:3">
      <c r="A127">
        <v>95</v>
      </c>
      <c r="B127">
        <v>784113.15461130883</v>
      </c>
      <c r="C127">
        <v>54137.165388691123</v>
      </c>
    </row>
    <row r="128" spans="1:3">
      <c r="A128">
        <v>96</v>
      </c>
      <c r="B128">
        <v>635205.46847062081</v>
      </c>
      <c r="C128">
        <v>-27307.348470620811</v>
      </c>
    </row>
    <row r="129" spans="1:3">
      <c r="A129">
        <v>97</v>
      </c>
      <c r="B129">
        <v>706553.56083372002</v>
      </c>
      <c r="C129">
        <v>-15439.940833720029</v>
      </c>
    </row>
    <row r="130" spans="1:3">
      <c r="A130">
        <v>98</v>
      </c>
      <c r="B130">
        <v>659950.43118768802</v>
      </c>
      <c r="C130">
        <v>75558.968812311999</v>
      </c>
    </row>
    <row r="131" spans="1:3">
      <c r="A131">
        <v>99</v>
      </c>
      <c r="B131">
        <v>616189.001251332</v>
      </c>
      <c r="C131">
        <v>-10413.671251332038</v>
      </c>
    </row>
    <row r="132" spans="1:3">
      <c r="A132">
        <v>100</v>
      </c>
      <c r="B132">
        <v>646645.89248932688</v>
      </c>
      <c r="C132">
        <v>28531.787510673166</v>
      </c>
    </row>
    <row r="133" spans="1:3">
      <c r="A133">
        <v>101</v>
      </c>
      <c r="B133">
        <v>582151.52081006207</v>
      </c>
      <c r="C133">
        <v>53029.829189937911</v>
      </c>
    </row>
    <row r="134" spans="1:3">
      <c r="A134">
        <v>102</v>
      </c>
      <c r="B134">
        <v>620497.59604227869</v>
      </c>
      <c r="C134">
        <v>-33870.656042278744</v>
      </c>
    </row>
    <row r="135" spans="1:3">
      <c r="A135">
        <v>103</v>
      </c>
      <c r="B135">
        <v>704178.18915476429</v>
      </c>
      <c r="C135">
        <v>35924.450845235726</v>
      </c>
    </row>
    <row r="136" spans="1:3">
      <c r="A136">
        <v>104</v>
      </c>
      <c r="B136">
        <v>517329.6188436267</v>
      </c>
      <c r="C136">
        <v>108184.42115637334</v>
      </c>
    </row>
    <row r="137" spans="1:3">
      <c r="A137">
        <v>105</v>
      </c>
      <c r="B137">
        <v>694928.65435855591</v>
      </c>
      <c r="C137">
        <v>32298.545641444041</v>
      </c>
    </row>
    <row r="138" spans="1:3">
      <c r="A138">
        <v>106</v>
      </c>
      <c r="B138">
        <v>783308.55110943096</v>
      </c>
      <c r="C138">
        <v>489.33889056905173</v>
      </c>
    </row>
    <row r="139" spans="1:3">
      <c r="A139">
        <v>107</v>
      </c>
      <c r="B139">
        <v>709279.45504946006</v>
      </c>
      <c r="C139">
        <v>85874.384950539912</v>
      </c>
    </row>
    <row r="140" spans="1:3">
      <c r="A140">
        <v>108</v>
      </c>
      <c r="B140">
        <v>656698.99461637356</v>
      </c>
      <c r="C140">
        <v>8895.9453836263856</v>
      </c>
    </row>
    <row r="141" spans="1:3">
      <c r="A141">
        <v>109</v>
      </c>
      <c r="B141">
        <v>680128.47215531988</v>
      </c>
      <c r="C141">
        <v>29349.917844680138</v>
      </c>
    </row>
    <row r="142" spans="1:3">
      <c r="A142">
        <v>110</v>
      </c>
      <c r="B142">
        <v>636905.56353409763</v>
      </c>
      <c r="C142">
        <v>27256.926465902361</v>
      </c>
    </row>
    <row r="143" spans="1:3">
      <c r="A143">
        <v>111</v>
      </c>
      <c r="B143">
        <v>634770.27415325597</v>
      </c>
      <c r="C143">
        <v>-1276.0641532560112</v>
      </c>
    </row>
    <row r="144" spans="1:3">
      <c r="A144">
        <v>112</v>
      </c>
      <c r="B144">
        <v>585441.66009490797</v>
      </c>
      <c r="C144">
        <v>128169.49990509206</v>
      </c>
    </row>
    <row r="145" spans="1:3">
      <c r="A145">
        <v>113</v>
      </c>
      <c r="B145">
        <v>732295.77931321471</v>
      </c>
      <c r="C145">
        <v>46102.190686785267</v>
      </c>
    </row>
    <row r="146" spans="1:3">
      <c r="A146">
        <v>114</v>
      </c>
      <c r="B146">
        <v>826630.00630910462</v>
      </c>
      <c r="C146">
        <v>46750.013690895401</v>
      </c>
    </row>
    <row r="147" spans="1:3">
      <c r="A147">
        <v>115</v>
      </c>
      <c r="B147">
        <v>741432.81581193826</v>
      </c>
      <c r="C147">
        <v>-44144.915811938234</v>
      </c>
    </row>
    <row r="148" spans="1:3">
      <c r="A148">
        <v>116</v>
      </c>
      <c r="B148">
        <v>750325.1883277935</v>
      </c>
      <c r="C148">
        <v>-32250.39832779346</v>
      </c>
    </row>
    <row r="149" spans="1:3">
      <c r="A149">
        <v>117</v>
      </c>
      <c r="B149">
        <v>737767.68102077965</v>
      </c>
      <c r="C149">
        <v>-22825.2510207796</v>
      </c>
    </row>
    <row r="150" spans="1:3">
      <c r="A150">
        <v>118</v>
      </c>
      <c r="B150">
        <v>743682.40163707139</v>
      </c>
      <c r="C150">
        <v>76836.638362928643</v>
      </c>
    </row>
    <row r="151" spans="1:3">
      <c r="A151">
        <v>119</v>
      </c>
      <c r="B151">
        <v>761930.35164648003</v>
      </c>
      <c r="C151">
        <v>-77713.031646480085</v>
      </c>
    </row>
    <row r="152" spans="1:3">
      <c r="A152">
        <v>120</v>
      </c>
      <c r="B152">
        <v>757190.37564158195</v>
      </c>
      <c r="C152">
        <v>-21710.185641582008</v>
      </c>
    </row>
    <row r="153" spans="1:3">
      <c r="A153">
        <v>121</v>
      </c>
      <c r="B153">
        <v>564619.34082685469</v>
      </c>
      <c r="C153">
        <v>-55134.530826854694</v>
      </c>
    </row>
    <row r="154" spans="1:3">
      <c r="A154">
        <v>122</v>
      </c>
      <c r="B154">
        <v>620855.4966654242</v>
      </c>
      <c r="C154">
        <v>33461.593334575766</v>
      </c>
    </row>
    <row r="155" spans="1:3">
      <c r="A155">
        <v>123</v>
      </c>
      <c r="B155">
        <v>594340.78844797867</v>
      </c>
      <c r="C155">
        <v>-36853.528447978664</v>
      </c>
    </row>
    <row r="156" spans="1:3">
      <c r="A156">
        <v>124</v>
      </c>
      <c r="B156">
        <v>514746.74041668122</v>
      </c>
      <c r="C156">
        <v>-73471.320416681236</v>
      </c>
    </row>
    <row r="157" spans="1:3">
      <c r="A157">
        <v>125</v>
      </c>
      <c r="B157">
        <v>851618.18729444756</v>
      </c>
      <c r="C157">
        <v>62925.98270555248</v>
      </c>
    </row>
    <row r="158" spans="1:3">
      <c r="A158">
        <v>126</v>
      </c>
      <c r="B158">
        <v>869388.8325951118</v>
      </c>
      <c r="C158">
        <v>-26949.16259511176</v>
      </c>
    </row>
    <row r="159" spans="1:3">
      <c r="A159">
        <v>127</v>
      </c>
      <c r="B159">
        <v>810369.6300464255</v>
      </c>
      <c r="C159">
        <v>31788.289953574538</v>
      </c>
    </row>
    <row r="160" spans="1:3">
      <c r="A160">
        <v>128</v>
      </c>
      <c r="B160">
        <v>712825.49010571442</v>
      </c>
      <c r="C160">
        <v>-15670.19010571437</v>
      </c>
    </row>
    <row r="161" spans="1:3">
      <c r="A161">
        <v>129</v>
      </c>
      <c r="B161">
        <v>841463.65971507377</v>
      </c>
      <c r="C161">
        <v>7554.6402849262813</v>
      </c>
    </row>
    <row r="162" spans="1:3">
      <c r="A162">
        <v>130</v>
      </c>
      <c r="B162">
        <v>800287.41883951484</v>
      </c>
      <c r="C162">
        <v>1542.9311604851391</v>
      </c>
    </row>
    <row r="163" spans="1:3">
      <c r="A163">
        <v>131</v>
      </c>
      <c r="B163">
        <v>790787.50465192052</v>
      </c>
      <c r="C163">
        <v>-65552.224651920493</v>
      </c>
    </row>
    <row r="164" spans="1:3">
      <c r="A164">
        <v>132</v>
      </c>
      <c r="B164">
        <v>821270.93929055764</v>
      </c>
      <c r="C164">
        <v>-9818.2192905576667</v>
      </c>
    </row>
    <row r="165" spans="1:3">
      <c r="A165">
        <v>133</v>
      </c>
      <c r="B165">
        <v>576826.28430285689</v>
      </c>
      <c r="C165">
        <v>-49526.154302856885</v>
      </c>
    </row>
    <row r="166" spans="1:3">
      <c r="A166">
        <v>134</v>
      </c>
      <c r="B166">
        <v>415612.05067530478</v>
      </c>
      <c r="C166">
        <v>-14780.400675304758</v>
      </c>
    </row>
    <row r="167" spans="1:3">
      <c r="A167">
        <v>135</v>
      </c>
      <c r="B167">
        <v>612700.22748623393</v>
      </c>
      <c r="C167">
        <v>-19452.977486233925</v>
      </c>
    </row>
    <row r="168" spans="1:3">
      <c r="A168">
        <v>136</v>
      </c>
      <c r="B168">
        <v>550881.8873725062</v>
      </c>
      <c r="C168">
        <v>-21805.937372506247</v>
      </c>
    </row>
    <row r="169" spans="1:3">
      <c r="A169">
        <v>137</v>
      </c>
      <c r="B169">
        <v>685839.2405069957</v>
      </c>
      <c r="C169">
        <v>-52201.210506995674</v>
      </c>
    </row>
    <row r="170" spans="1:3">
      <c r="A170">
        <v>138</v>
      </c>
      <c r="B170">
        <v>722111.7987905998</v>
      </c>
      <c r="C170">
        <v>21237.041209400166</v>
      </c>
    </row>
    <row r="171" spans="1:3">
      <c r="A171">
        <v>139</v>
      </c>
      <c r="B171">
        <v>722898.37284959026</v>
      </c>
      <c r="C171">
        <v>35929.267150409753</v>
      </c>
    </row>
    <row r="172" spans="1:3">
      <c r="A172">
        <v>140</v>
      </c>
      <c r="B172">
        <v>635484.09057674126</v>
      </c>
      <c r="C172">
        <v>11075.6194232587</v>
      </c>
    </row>
    <row r="173" spans="1:3">
      <c r="A173">
        <v>141</v>
      </c>
      <c r="B173">
        <v>673458.54960515676</v>
      </c>
      <c r="C173">
        <v>42431.980394843267</v>
      </c>
    </row>
    <row r="174" spans="1:3">
      <c r="A174">
        <v>142</v>
      </c>
      <c r="B174">
        <v>694155.27862039348</v>
      </c>
      <c r="C174">
        <v>20942.291379606468</v>
      </c>
    </row>
    <row r="175" spans="1:3">
      <c r="A175">
        <v>143</v>
      </c>
      <c r="B175">
        <v>648397.02597694623</v>
      </c>
      <c r="C175">
        <v>34242.2540230538</v>
      </c>
    </row>
    <row r="176" spans="1:3">
      <c r="A176">
        <v>144</v>
      </c>
      <c r="B176">
        <v>688372.51897187706</v>
      </c>
      <c r="C176">
        <v>6725.9910281229531</v>
      </c>
    </row>
    <row r="177" spans="1:3">
      <c r="A177">
        <v>145</v>
      </c>
      <c r="B177">
        <v>615727.01582746441</v>
      </c>
      <c r="C177">
        <v>-37994.445827464457</v>
      </c>
    </row>
    <row r="178" spans="1:3">
      <c r="A178">
        <v>146</v>
      </c>
      <c r="B178">
        <v>574941.14793091116</v>
      </c>
      <c r="C178">
        <v>-37882.817930911202</v>
      </c>
    </row>
    <row r="179" spans="1:3">
      <c r="A179">
        <v>147</v>
      </c>
      <c r="B179">
        <v>613897.70903186896</v>
      </c>
      <c r="C179">
        <v>-12328.839031868964</v>
      </c>
    </row>
    <row r="180" spans="1:3">
      <c r="A180">
        <v>148</v>
      </c>
      <c r="B180">
        <v>575583.60871599917</v>
      </c>
      <c r="C180">
        <v>-4618.7687159992056</v>
      </c>
    </row>
    <row r="181" spans="1:3">
      <c r="A181">
        <v>149</v>
      </c>
      <c r="B181">
        <v>649701.17155445949</v>
      </c>
      <c r="C181">
        <v>-35676.261554459459</v>
      </c>
    </row>
    <row r="182" spans="1:3">
      <c r="A182">
        <v>150</v>
      </c>
      <c r="B182">
        <v>700037.06261838821</v>
      </c>
      <c r="C182">
        <v>12831.287381611764</v>
      </c>
    </row>
    <row r="183" spans="1:3">
      <c r="A183">
        <v>151</v>
      </c>
      <c r="B183">
        <v>670028.03542803042</v>
      </c>
      <c r="C183">
        <v>26716.114571969607</v>
      </c>
    </row>
    <row r="184" spans="1:3">
      <c r="A184">
        <v>152</v>
      </c>
      <c r="B184">
        <v>706888.96001746994</v>
      </c>
      <c r="C184">
        <v>18959.029982530046</v>
      </c>
    </row>
    <row r="185" spans="1:3">
      <c r="A185">
        <v>153</v>
      </c>
      <c r="B185">
        <v>795470.15764895419</v>
      </c>
      <c r="C185">
        <v>-10441.907648954191</v>
      </c>
    </row>
    <row r="186" spans="1:3">
      <c r="A186">
        <v>154</v>
      </c>
      <c r="B186">
        <v>685384.36431452888</v>
      </c>
      <c r="C186">
        <v>13108.305685471161</v>
      </c>
    </row>
    <row r="187" spans="1:3">
      <c r="A187">
        <v>155</v>
      </c>
      <c r="B187">
        <v>716027.13713792211</v>
      </c>
      <c r="C187">
        <v>-30196.897137922118</v>
      </c>
    </row>
    <row r="188" spans="1:3">
      <c r="A188">
        <v>156</v>
      </c>
      <c r="B188">
        <v>700828.18862042564</v>
      </c>
      <c r="C188">
        <v>1490.7513795742998</v>
      </c>
    </row>
    <row r="189" spans="1:3">
      <c r="A189">
        <v>157</v>
      </c>
      <c r="B189">
        <v>706760.80188589776</v>
      </c>
      <c r="C189">
        <v>-6682.4818858978106</v>
      </c>
    </row>
    <row r="190" spans="1:3">
      <c r="A190">
        <v>158</v>
      </c>
      <c r="B190">
        <v>612465.27159606339</v>
      </c>
      <c r="C190">
        <v>-10462.951596063445</v>
      </c>
    </row>
    <row r="191" spans="1:3">
      <c r="A191">
        <v>159</v>
      </c>
      <c r="B191">
        <v>647910.20559495687</v>
      </c>
      <c r="C191">
        <v>76305.864405043074</v>
      </c>
    </row>
    <row r="192" spans="1:3">
      <c r="A192">
        <v>160</v>
      </c>
      <c r="B192">
        <v>555311.99223031686</v>
      </c>
      <c r="C192">
        <v>65661.037769683171</v>
      </c>
    </row>
    <row r="193" spans="1:3">
      <c r="A193">
        <v>161</v>
      </c>
      <c r="B193">
        <v>704341.49341361737</v>
      </c>
      <c r="C193">
        <v>-53861.433413617313</v>
      </c>
    </row>
    <row r="194" spans="1:3">
      <c r="A194">
        <v>162</v>
      </c>
      <c r="B194">
        <v>714361.69341917837</v>
      </c>
      <c r="C194">
        <v>63937.186580821639</v>
      </c>
    </row>
    <row r="195" spans="1:3">
      <c r="A195">
        <v>163</v>
      </c>
      <c r="B195">
        <v>692953.46168155293</v>
      </c>
      <c r="C195">
        <v>-15856.751681552967</v>
      </c>
    </row>
    <row r="196" spans="1:3">
      <c r="A196">
        <v>164</v>
      </c>
      <c r="B196">
        <v>716014.34688586707</v>
      </c>
      <c r="C196">
        <v>-24005.706885867054</v>
      </c>
    </row>
    <row r="197" spans="1:3">
      <c r="A197">
        <v>165</v>
      </c>
      <c r="B197">
        <v>790814.23648471665</v>
      </c>
      <c r="C197">
        <v>34983.673515283386</v>
      </c>
    </row>
    <row r="198" spans="1:3">
      <c r="A198">
        <v>166</v>
      </c>
      <c r="B198">
        <v>727003.54797466472</v>
      </c>
      <c r="C198">
        <v>-20718.027974664699</v>
      </c>
    </row>
    <row r="199" spans="1:3">
      <c r="A199">
        <v>167</v>
      </c>
      <c r="B199">
        <v>662518.507050924</v>
      </c>
      <c r="C199">
        <v>3016.1929490759503</v>
      </c>
    </row>
    <row r="200" spans="1:3">
      <c r="A200">
        <v>168</v>
      </c>
      <c r="B200">
        <v>807854.8167283393</v>
      </c>
      <c r="C200">
        <v>12874.47327166074</v>
      </c>
    </row>
    <row r="201" spans="1:3">
      <c r="A201">
        <v>169</v>
      </c>
      <c r="B201">
        <v>784204.27926813276</v>
      </c>
      <c r="C201">
        <v>-44372.549268132774</v>
      </c>
    </row>
    <row r="202" spans="1:3">
      <c r="A202">
        <v>170</v>
      </c>
      <c r="B202">
        <v>663940.60394650931</v>
      </c>
      <c r="C202">
        <v>-70303.463946509291</v>
      </c>
    </row>
    <row r="203" spans="1:3">
      <c r="A203">
        <v>171</v>
      </c>
      <c r="B203">
        <v>741176.22547497984</v>
      </c>
      <c r="C203">
        <v>28526.534525020164</v>
      </c>
    </row>
    <row r="204" spans="1:3">
      <c r="A204">
        <v>172</v>
      </c>
      <c r="B204">
        <v>689472.55657097511</v>
      </c>
      <c r="C204">
        <v>-9740.9865709751612</v>
      </c>
    </row>
    <row r="205" spans="1:3">
      <c r="A205">
        <v>173</v>
      </c>
      <c r="B205">
        <v>761742.35615094483</v>
      </c>
      <c r="C205">
        <v>18601.823849055218</v>
      </c>
    </row>
    <row r="206" spans="1:3">
      <c r="A206">
        <v>174</v>
      </c>
      <c r="B206">
        <v>744489.27734974236</v>
      </c>
      <c r="C206">
        <v>-23125.167349742376</v>
      </c>
    </row>
    <row r="207" spans="1:3">
      <c r="A207">
        <v>175</v>
      </c>
      <c r="B207">
        <v>768552.08781317296</v>
      </c>
      <c r="C207">
        <v>-10413.797813172918</v>
      </c>
    </row>
    <row r="208" spans="1:3">
      <c r="A208">
        <v>176</v>
      </c>
      <c r="B208">
        <v>811218.01433415734</v>
      </c>
      <c r="C208">
        <v>-6954.0143341573421</v>
      </c>
    </row>
    <row r="209" spans="1:3">
      <c r="A209">
        <v>177</v>
      </c>
      <c r="B209">
        <v>862313.10100980639</v>
      </c>
      <c r="C209">
        <v>25224.648990193615</v>
      </c>
    </row>
    <row r="210" spans="1:3">
      <c r="A210">
        <v>178</v>
      </c>
      <c r="B210">
        <v>713587.90940737689</v>
      </c>
      <c r="C210">
        <v>69994.090592623106</v>
      </c>
    </row>
    <row r="211" spans="1:3">
      <c r="A211">
        <v>179</v>
      </c>
      <c r="B211">
        <v>742496.04007690784</v>
      </c>
      <c r="C211">
        <v>39459.479923092178</v>
      </c>
    </row>
    <row r="212" spans="1:3">
      <c r="A212">
        <v>180</v>
      </c>
      <c r="B212">
        <v>822257.7094900927</v>
      </c>
      <c r="C212">
        <v>75773.330509907333</v>
      </c>
    </row>
    <row r="213" spans="1:3">
      <c r="A213">
        <v>181</v>
      </c>
      <c r="B213">
        <v>868483.33654004114</v>
      </c>
      <c r="C213">
        <v>-13142.056540041114</v>
      </c>
    </row>
    <row r="214" spans="1:3">
      <c r="A214">
        <v>182</v>
      </c>
      <c r="B214">
        <v>756889.06894475047</v>
      </c>
      <c r="C214">
        <v>-5495.1889447504655</v>
      </c>
    </row>
    <row r="215" spans="1:3">
      <c r="A215">
        <v>183</v>
      </c>
      <c r="B215">
        <v>785074.34521095909</v>
      </c>
      <c r="C215">
        <v>-23997.265210959129</v>
      </c>
    </row>
    <row r="216" spans="1:3">
      <c r="A216">
        <v>184</v>
      </c>
      <c r="B216">
        <v>827452.26856891846</v>
      </c>
      <c r="C216">
        <v>-7791.6785689184908</v>
      </c>
    </row>
    <row r="217" spans="1:3">
      <c r="A217">
        <v>185</v>
      </c>
      <c r="B217">
        <v>693925.09739412391</v>
      </c>
      <c r="C217">
        <v>-12069.53739412385</v>
      </c>
    </row>
    <row r="218" spans="1:3">
      <c r="A218">
        <v>186</v>
      </c>
      <c r="B218">
        <v>662754.53363941365</v>
      </c>
      <c r="C218">
        <v>15556.636360586388</v>
      </c>
    </row>
    <row r="219" spans="1:3">
      <c r="A219">
        <v>187</v>
      </c>
      <c r="B219">
        <v>707932.02972262667</v>
      </c>
      <c r="C219">
        <v>57974.920277373283</v>
      </c>
    </row>
    <row r="220" spans="1:3">
      <c r="A220">
        <v>188</v>
      </c>
      <c r="B220">
        <v>708795.73528971814</v>
      </c>
      <c r="C220">
        <v>3750.6447102818638</v>
      </c>
    </row>
    <row r="221" spans="1:3">
      <c r="A221">
        <v>189</v>
      </c>
      <c r="B221">
        <v>579917.78864895948</v>
      </c>
      <c r="C221">
        <v>46076.041351040476</v>
      </c>
    </row>
    <row r="222" spans="1:3">
      <c r="A222">
        <v>190</v>
      </c>
      <c r="B222">
        <v>535330.89276181359</v>
      </c>
      <c r="C222">
        <v>15632.037238186458</v>
      </c>
    </row>
    <row r="223" spans="1:3">
      <c r="A223">
        <v>191</v>
      </c>
      <c r="B223">
        <v>459873.0023900693</v>
      </c>
      <c r="C223">
        <v>-16597.412390069279</v>
      </c>
    </row>
    <row r="224" spans="1:3">
      <c r="A224">
        <v>192</v>
      </c>
      <c r="B224">
        <v>601541.51499345154</v>
      </c>
      <c r="C224">
        <v>-47529.444993451587</v>
      </c>
    </row>
    <row r="225" spans="1:3">
      <c r="A225">
        <v>193</v>
      </c>
      <c r="B225">
        <v>690437.98010769242</v>
      </c>
      <c r="C225">
        <v>-47009.130107692443</v>
      </c>
    </row>
    <row r="226" spans="1:3">
      <c r="A226">
        <v>194</v>
      </c>
      <c r="B226">
        <v>620885.13940244366</v>
      </c>
      <c r="C226">
        <v>-8960.8694024436409</v>
      </c>
    </row>
    <row r="227" spans="1:3">
      <c r="A227">
        <v>195</v>
      </c>
      <c r="B227">
        <v>573197.80559856817</v>
      </c>
      <c r="C227">
        <v>-13775.785598568153</v>
      </c>
    </row>
    <row r="228" spans="1:3">
      <c r="A228">
        <v>196</v>
      </c>
      <c r="B228">
        <v>496214.58880742104</v>
      </c>
      <c r="C228">
        <v>-46749.52880742104</v>
      </c>
    </row>
    <row r="229" spans="1:3">
      <c r="A229">
        <v>197</v>
      </c>
      <c r="B229">
        <v>642372.15777786844</v>
      </c>
      <c r="C229">
        <v>49075.272222131607</v>
      </c>
    </row>
    <row r="230" spans="1:3">
      <c r="A230">
        <v>198</v>
      </c>
      <c r="B230">
        <v>621088.54207398114</v>
      </c>
      <c r="C230">
        <v>-47021.932073981152</v>
      </c>
    </row>
    <row r="231" spans="1:3">
      <c r="A231">
        <v>199</v>
      </c>
      <c r="B231">
        <v>631349.32070318493</v>
      </c>
      <c r="C231">
        <v>-52399.480703184963</v>
      </c>
    </row>
    <row r="232" spans="1:3">
      <c r="A232">
        <v>200</v>
      </c>
      <c r="B232">
        <v>672807.32258550497</v>
      </c>
      <c r="C232">
        <v>62979.317414495046</v>
      </c>
    </row>
    <row r="233" spans="1:3">
      <c r="A233">
        <v>201</v>
      </c>
      <c r="B233">
        <v>608516.46730255452</v>
      </c>
      <c r="C233">
        <v>-9611.5673025544966</v>
      </c>
    </row>
    <row r="234" spans="1:3">
      <c r="A234">
        <v>202</v>
      </c>
      <c r="B234">
        <v>675843.16905375558</v>
      </c>
      <c r="C234">
        <v>111872.34094624443</v>
      </c>
    </row>
    <row r="235" spans="1:3">
      <c r="A235">
        <v>203</v>
      </c>
      <c r="B235">
        <v>647733.48444035859</v>
      </c>
      <c r="C235">
        <v>-40648.564440358547</v>
      </c>
    </row>
    <row r="236" spans="1:3">
      <c r="A236">
        <v>204</v>
      </c>
      <c r="B236">
        <v>659351.22741198796</v>
      </c>
      <c r="C236">
        <v>-8555.7374119879678</v>
      </c>
    </row>
    <row r="237" spans="1:3">
      <c r="A237">
        <v>205</v>
      </c>
      <c r="B237">
        <v>829113.12155804702</v>
      </c>
      <c r="C237">
        <v>-4052.6015580469975</v>
      </c>
    </row>
    <row r="238" spans="1:3">
      <c r="A238">
        <v>206</v>
      </c>
      <c r="B238">
        <v>724422.52770833729</v>
      </c>
      <c r="C238">
        <v>71041.942291662679</v>
      </c>
    </row>
    <row r="239" spans="1:3">
      <c r="A239">
        <v>207</v>
      </c>
      <c r="B239">
        <v>713467.3812348377</v>
      </c>
      <c r="C239">
        <v>-41598.791234837729</v>
      </c>
    </row>
    <row r="240" spans="1:3">
      <c r="A240">
        <v>208</v>
      </c>
      <c r="B240">
        <v>735235.37429970282</v>
      </c>
      <c r="C240">
        <v>-59317.744299702812</v>
      </c>
    </row>
    <row r="241" spans="1:3">
      <c r="A241">
        <v>209</v>
      </c>
      <c r="B241">
        <v>805081.93352098658</v>
      </c>
      <c r="C241">
        <v>5364.5964790134458</v>
      </c>
    </row>
    <row r="242" spans="1:3">
      <c r="A242">
        <v>210</v>
      </c>
      <c r="B242">
        <v>749124.62244650035</v>
      </c>
      <c r="C242">
        <v>-57836.432446500403</v>
      </c>
    </row>
    <row r="243" spans="1:3">
      <c r="A243">
        <v>211</v>
      </c>
      <c r="B243">
        <v>969198.01257091318</v>
      </c>
      <c r="C243">
        <v>-22364.472570913145</v>
      </c>
    </row>
    <row r="244" spans="1:3">
      <c r="A244">
        <v>212</v>
      </c>
      <c r="B244">
        <v>761114.86247281602</v>
      </c>
      <c r="C244">
        <v>848.36752718396019</v>
      </c>
    </row>
    <row r="245" spans="1:3">
      <c r="A245">
        <v>213</v>
      </c>
      <c r="B245">
        <v>794670.51639500284</v>
      </c>
      <c r="C245">
        <v>17482.08360499714</v>
      </c>
    </row>
    <row r="246" spans="1:3">
      <c r="A246">
        <v>214</v>
      </c>
      <c r="B246">
        <v>776241.81970289035</v>
      </c>
      <c r="C246">
        <v>28733.680297109648</v>
      </c>
    </row>
    <row r="247" spans="1:3">
      <c r="A247">
        <v>215</v>
      </c>
      <c r="B247">
        <v>771512.42683777795</v>
      </c>
      <c r="C247">
        <v>-19190.70683777798</v>
      </c>
    </row>
    <row r="248" spans="1:3">
      <c r="A248">
        <v>216</v>
      </c>
      <c r="B248">
        <v>842487.13173841371</v>
      </c>
      <c r="C248">
        <v>-5578.8917384137167</v>
      </c>
    </row>
    <row r="249" spans="1:3">
      <c r="A249">
        <v>217</v>
      </c>
      <c r="B249">
        <v>624904.48699284182</v>
      </c>
      <c r="C249">
        <v>49384.613007158157</v>
      </c>
    </row>
    <row r="250" spans="1:3">
      <c r="A250">
        <v>218</v>
      </c>
      <c r="B250">
        <v>624712.12859895092</v>
      </c>
      <c r="C250">
        <v>-1819.7085989508778</v>
      </c>
    </row>
    <row r="251" spans="1:3">
      <c r="A251">
        <v>219</v>
      </c>
      <c r="B251">
        <v>618071.31277748384</v>
      </c>
      <c r="C251">
        <v>55277.24722251622</v>
      </c>
    </row>
    <row r="252" spans="1:3">
      <c r="A252">
        <v>220</v>
      </c>
      <c r="B252">
        <v>583374.33493369538</v>
      </c>
      <c r="C252">
        <v>22903.965066304663</v>
      </c>
    </row>
    <row r="253" spans="1:3">
      <c r="A253">
        <v>221</v>
      </c>
      <c r="B253">
        <v>707498.54776203434</v>
      </c>
      <c r="C253">
        <v>4721.2622379657114</v>
      </c>
    </row>
    <row r="254" spans="1:3">
      <c r="A254">
        <v>222</v>
      </c>
      <c r="B254">
        <v>661346.65918728826</v>
      </c>
      <c r="C254">
        <v>11323.880812711781</v>
      </c>
    </row>
    <row r="255" spans="1:3">
      <c r="A255">
        <v>223</v>
      </c>
      <c r="B255">
        <v>724599.2076364716</v>
      </c>
      <c r="C255">
        <v>8068.712363528437</v>
      </c>
    </row>
    <row r="256" spans="1:3">
      <c r="A256">
        <v>224</v>
      </c>
      <c r="B256">
        <v>748785.85592787538</v>
      </c>
      <c r="C256">
        <v>-25254.455927875359</v>
      </c>
    </row>
    <row r="257" spans="1:3">
      <c r="A257">
        <v>225</v>
      </c>
      <c r="B257">
        <v>611215.69693166448</v>
      </c>
      <c r="C257">
        <v>30348.903068335494</v>
      </c>
    </row>
    <row r="258" spans="1:3">
      <c r="A258">
        <v>226</v>
      </c>
      <c r="B258">
        <v>513404.18449930113</v>
      </c>
      <c r="C258">
        <v>23141.305500698858</v>
      </c>
    </row>
    <row r="259" spans="1:3">
      <c r="A259">
        <v>227</v>
      </c>
      <c r="B259">
        <v>541096.80013322132</v>
      </c>
      <c r="C259">
        <v>-13415.240133221261</v>
      </c>
    </row>
    <row r="260" spans="1:3">
      <c r="A260">
        <v>228</v>
      </c>
      <c r="B260">
        <v>447252.14386230079</v>
      </c>
      <c r="C260">
        <v>82346.796137699159</v>
      </c>
    </row>
    <row r="261" spans="1:3">
      <c r="A261">
        <v>229</v>
      </c>
      <c r="B261">
        <v>607702.52739707078</v>
      </c>
      <c r="C261">
        <v>-36739.217397070723</v>
      </c>
    </row>
    <row r="262" spans="1:3">
      <c r="A262">
        <v>230</v>
      </c>
      <c r="B262">
        <v>819302.47298359452</v>
      </c>
      <c r="C262">
        <v>51634.927016405505</v>
      </c>
    </row>
    <row r="263" spans="1:3">
      <c r="A263">
        <v>231</v>
      </c>
      <c r="B263">
        <v>624066.19610379392</v>
      </c>
      <c r="C263">
        <v>-27096.9261037939</v>
      </c>
    </row>
    <row r="264" spans="1:3">
      <c r="A264">
        <v>232</v>
      </c>
      <c r="B264">
        <v>603946.74839990761</v>
      </c>
      <c r="C264">
        <v>43566.10160009237</v>
      </c>
    </row>
    <row r="265" spans="1:3">
      <c r="A265">
        <v>233</v>
      </c>
      <c r="B265">
        <v>624732.12741707778</v>
      </c>
      <c r="C265">
        <v>33340.012582922238</v>
      </c>
    </row>
    <row r="266" spans="1:3">
      <c r="A266">
        <v>234</v>
      </c>
      <c r="B266">
        <v>661609.28444861574</v>
      </c>
      <c r="C266">
        <v>61695.825551384245</v>
      </c>
    </row>
    <row r="267" spans="1:3">
      <c r="A267">
        <v>235</v>
      </c>
      <c r="B267">
        <v>646318.82064103743</v>
      </c>
      <c r="C267">
        <v>-5652.290641037398</v>
      </c>
    </row>
    <row r="268" spans="1:3">
      <c r="A268">
        <v>236</v>
      </c>
      <c r="B268">
        <v>679612.56248645321</v>
      </c>
      <c r="C268">
        <v>-8983.0824864532333</v>
      </c>
    </row>
    <row r="269" spans="1:3">
      <c r="A269">
        <v>237</v>
      </c>
      <c r="B269">
        <v>786212.99737091805</v>
      </c>
      <c r="C269">
        <v>-65133.647370918072</v>
      </c>
    </row>
    <row r="270" spans="1:3">
      <c r="A270">
        <v>238</v>
      </c>
      <c r="B270">
        <v>816293.74772677827</v>
      </c>
      <c r="C270">
        <v>-5938.7277267782483</v>
      </c>
    </row>
    <row r="271" spans="1:3">
      <c r="A271">
        <v>239</v>
      </c>
      <c r="B271">
        <v>767581.51171773649</v>
      </c>
      <c r="C271">
        <v>-5662.2617177364882</v>
      </c>
    </row>
    <row r="272" spans="1:3">
      <c r="A272">
        <v>240</v>
      </c>
      <c r="B272">
        <v>721420.80268445797</v>
      </c>
      <c r="C272">
        <v>15649.377315542079</v>
      </c>
    </row>
    <row r="273" spans="1:3">
      <c r="A273">
        <v>241</v>
      </c>
      <c r="B273">
        <v>759224.28569190949</v>
      </c>
      <c r="C273">
        <v>17768.644308090559</v>
      </c>
    </row>
    <row r="274" spans="1:3">
      <c r="A274">
        <v>242</v>
      </c>
      <c r="B274">
        <v>640138.98668115516</v>
      </c>
      <c r="C274">
        <v>36198.423318844871</v>
      </c>
    </row>
    <row r="275" spans="1:3">
      <c r="A275">
        <v>243</v>
      </c>
      <c r="B275">
        <v>814733.06935190153</v>
      </c>
      <c r="C275">
        <v>13486.600648098509</v>
      </c>
    </row>
    <row r="276" spans="1:3">
      <c r="A276">
        <v>244</v>
      </c>
      <c r="B276">
        <v>752128.76531276235</v>
      </c>
      <c r="C276">
        <v>11031.154687237693</v>
      </c>
    </row>
    <row r="277" spans="1:3">
      <c r="A277">
        <v>245</v>
      </c>
      <c r="B277">
        <v>770200.55239695846</v>
      </c>
      <c r="C277">
        <v>31801.12760304159</v>
      </c>
    </row>
    <row r="278" spans="1:3">
      <c r="A278">
        <v>246</v>
      </c>
      <c r="B278">
        <v>728818.2595096404</v>
      </c>
      <c r="C278">
        <v>21653.080490359571</v>
      </c>
    </row>
    <row r="279" spans="1:3">
      <c r="A279">
        <v>247</v>
      </c>
      <c r="B279">
        <v>705798.09353191103</v>
      </c>
      <c r="C279">
        <v>-26567.233531911043</v>
      </c>
    </row>
    <row r="280" spans="1:3">
      <c r="A280">
        <v>248</v>
      </c>
      <c r="B280">
        <v>679931.27275450097</v>
      </c>
      <c r="C280">
        <v>-42.532754500978626</v>
      </c>
    </row>
    <row r="281" spans="1:3">
      <c r="A281">
        <v>249</v>
      </c>
      <c r="B281">
        <v>586351.50934315007</v>
      </c>
      <c r="C281">
        <v>20432.16065684997</v>
      </c>
    </row>
    <row r="282" spans="1:3">
      <c r="A282">
        <v>250</v>
      </c>
      <c r="B282">
        <v>652837.09232573526</v>
      </c>
      <c r="C282">
        <v>-10085.672325735213</v>
      </c>
    </row>
    <row r="283" spans="1:3">
      <c r="A283">
        <v>251</v>
      </c>
      <c r="B283">
        <v>646151.67454708449</v>
      </c>
      <c r="C283">
        <v>1802.1054529155372</v>
      </c>
    </row>
    <row r="284" spans="1:3">
      <c r="A284">
        <v>252</v>
      </c>
      <c r="B284">
        <v>701862.15736383724</v>
      </c>
      <c r="C284">
        <v>27578.292636162718</v>
      </c>
    </row>
    <row r="285" spans="1:3">
      <c r="A285">
        <v>253</v>
      </c>
      <c r="B285">
        <v>756138.87968617224</v>
      </c>
      <c r="C285">
        <v>8810.1203138277633</v>
      </c>
    </row>
    <row r="286" spans="1:3">
      <c r="A286">
        <v>254</v>
      </c>
      <c r="B286">
        <v>705948.52169999981</v>
      </c>
      <c r="C286">
        <v>93098.418300000136</v>
      </c>
    </row>
    <row r="287" spans="1:3">
      <c r="A287">
        <v>255</v>
      </c>
      <c r="B287">
        <v>674134.05135543668</v>
      </c>
      <c r="C287">
        <v>45945.48864456336</v>
      </c>
    </row>
    <row r="288" spans="1:3">
      <c r="A288">
        <v>256</v>
      </c>
      <c r="B288">
        <v>648399.77338495245</v>
      </c>
      <c r="C288">
        <v>-36009.633384952438</v>
      </c>
    </row>
    <row r="289" spans="1:3">
      <c r="A289">
        <v>257</v>
      </c>
      <c r="B289">
        <v>770174.69142237422</v>
      </c>
      <c r="C289">
        <v>69933.428577625775</v>
      </c>
    </row>
    <row r="290" spans="1:3">
      <c r="A290">
        <v>258</v>
      </c>
      <c r="B290">
        <v>684707.96913425985</v>
      </c>
      <c r="C290">
        <v>13180.120865740115</v>
      </c>
    </row>
    <row r="291" spans="1:3">
      <c r="A291">
        <v>259</v>
      </c>
      <c r="B291">
        <v>745845.09592716245</v>
      </c>
      <c r="C291">
        <v>270.49407283752225</v>
      </c>
    </row>
    <row r="292" spans="1:3">
      <c r="A292">
        <v>260</v>
      </c>
      <c r="B292">
        <v>726620.59589241678</v>
      </c>
      <c r="C292">
        <v>49489.72410758317</v>
      </c>
    </row>
    <row r="293" spans="1:3">
      <c r="A293">
        <v>261</v>
      </c>
      <c r="B293">
        <v>527126.8702025871</v>
      </c>
      <c r="C293">
        <v>1725.7497974128928</v>
      </c>
    </row>
    <row r="294" spans="1:3">
      <c r="A294">
        <v>262</v>
      </c>
      <c r="B294">
        <v>610376.92991464445</v>
      </c>
      <c r="C294">
        <v>-4625.5999146444956</v>
      </c>
    </row>
    <row r="295" spans="1:3">
      <c r="A295">
        <v>263</v>
      </c>
      <c r="B295">
        <v>620659.61994077929</v>
      </c>
      <c r="C295">
        <v>56981.030059220735</v>
      </c>
    </row>
    <row r="296" spans="1:3">
      <c r="A296">
        <v>264</v>
      </c>
      <c r="B296">
        <v>618164.33862330252</v>
      </c>
      <c r="C296">
        <v>18448.891376697458</v>
      </c>
    </row>
    <row r="297" spans="1:3">
      <c r="A297">
        <v>265</v>
      </c>
      <c r="B297">
        <v>706732.25199746201</v>
      </c>
      <c r="C297">
        <v>2252.938002537936</v>
      </c>
    </row>
    <row r="298" spans="1:3">
      <c r="A298">
        <v>266</v>
      </c>
      <c r="B298">
        <v>730926.37613365578</v>
      </c>
      <c r="C298">
        <v>36866.563866344164</v>
      </c>
    </row>
    <row r="299" spans="1:3">
      <c r="A299">
        <v>267</v>
      </c>
      <c r="B299">
        <v>717939.44686412776</v>
      </c>
      <c r="C299">
        <v>27641.063135872246</v>
      </c>
    </row>
    <row r="300" spans="1:3">
      <c r="A300">
        <v>268</v>
      </c>
      <c r="B300">
        <v>706180.26187347434</v>
      </c>
      <c r="C300">
        <v>56148.048126525711</v>
      </c>
    </row>
    <row r="301" spans="1:3">
      <c r="A301">
        <v>269</v>
      </c>
      <c r="B301">
        <v>716503.41766319238</v>
      </c>
      <c r="C301">
        <v>-55869.427663192386</v>
      </c>
    </row>
    <row r="302" spans="1:3">
      <c r="A302">
        <v>270</v>
      </c>
      <c r="B302">
        <v>677804.78717469901</v>
      </c>
      <c r="C302">
        <v>61569.772825301043</v>
      </c>
    </row>
    <row r="303" spans="1:3">
      <c r="A303">
        <v>271</v>
      </c>
      <c r="B303">
        <v>800347.62217357964</v>
      </c>
      <c r="C303">
        <v>-591.1621735796798</v>
      </c>
    </row>
    <row r="304" spans="1:3">
      <c r="A304">
        <v>272</v>
      </c>
      <c r="B304">
        <v>643524.92667554482</v>
      </c>
      <c r="C304">
        <v>-50181.926675544819</v>
      </c>
    </row>
    <row r="305" spans="1:3">
      <c r="A305">
        <v>273</v>
      </c>
      <c r="B305">
        <v>641093.80012914946</v>
      </c>
      <c r="C305">
        <v>3946.1698708505137</v>
      </c>
    </row>
    <row r="306" spans="1:3">
      <c r="A306">
        <v>274</v>
      </c>
      <c r="B306">
        <v>531201.54795825202</v>
      </c>
      <c r="C306">
        <v>30395.782041747938</v>
      </c>
    </row>
    <row r="307" spans="1:3">
      <c r="A307">
        <v>275</v>
      </c>
      <c r="B307">
        <v>650206.50342248415</v>
      </c>
      <c r="C307">
        <v>-14368.76342248416</v>
      </c>
    </row>
    <row r="308" spans="1:3">
      <c r="A308">
        <v>276</v>
      </c>
      <c r="B308">
        <v>608283.59890819981</v>
      </c>
      <c r="C308">
        <v>78454.271091800183</v>
      </c>
    </row>
    <row r="309" spans="1:3">
      <c r="A309">
        <v>277</v>
      </c>
      <c r="B309">
        <v>761845.19091832521</v>
      </c>
      <c r="C309">
        <v>-88768.850918325246</v>
      </c>
    </row>
    <row r="310" spans="1:3">
      <c r="A310">
        <v>278</v>
      </c>
      <c r="B310">
        <v>718200.58882856346</v>
      </c>
      <c r="C310">
        <v>20347.831171436585</v>
      </c>
    </row>
    <row r="311" spans="1:3">
      <c r="A311">
        <v>279</v>
      </c>
      <c r="B311">
        <v>760298.00886688614</v>
      </c>
      <c r="C311">
        <v>-3678.238866886124</v>
      </c>
    </row>
    <row r="312" spans="1:3">
      <c r="A312">
        <v>280</v>
      </c>
      <c r="B312">
        <v>792209.77797485737</v>
      </c>
      <c r="C312">
        <v>-31087.357974857325</v>
      </c>
    </row>
    <row r="313" spans="1:3">
      <c r="A313">
        <v>281</v>
      </c>
      <c r="B313">
        <v>585102.95853738114</v>
      </c>
      <c r="C313">
        <v>-60203.388537381194</v>
      </c>
    </row>
    <row r="314" spans="1:3">
      <c r="A314">
        <v>282</v>
      </c>
      <c r="B314">
        <v>597913.70447321841</v>
      </c>
      <c r="C314">
        <v>-42355.934473218396</v>
      </c>
    </row>
    <row r="315" spans="1:3">
      <c r="A315">
        <v>283</v>
      </c>
      <c r="B315">
        <v>703782.83920170006</v>
      </c>
      <c r="C315">
        <v>10300.840798299992</v>
      </c>
    </row>
    <row r="316" spans="1:3">
      <c r="A316">
        <v>284</v>
      </c>
      <c r="B316">
        <v>511476.60616574343</v>
      </c>
      <c r="C316">
        <v>-14036.786165743426</v>
      </c>
    </row>
    <row r="317" spans="1:3">
      <c r="A317">
        <v>285</v>
      </c>
      <c r="B317">
        <v>666035.68548022537</v>
      </c>
      <c r="C317">
        <v>-29260.025480225333</v>
      </c>
    </row>
    <row r="318" spans="1:3">
      <c r="A318">
        <v>286</v>
      </c>
      <c r="B318">
        <v>643603.29960424569</v>
      </c>
      <c r="C318">
        <v>-10593.769604245666</v>
      </c>
    </row>
    <row r="319" spans="1:3">
      <c r="A319">
        <v>287</v>
      </c>
      <c r="B319">
        <v>628447.23941301077</v>
      </c>
      <c r="C319">
        <v>-18498.239413010771</v>
      </c>
    </row>
    <row r="320" spans="1:3">
      <c r="A320">
        <v>288</v>
      </c>
      <c r="B320">
        <v>579483.92540889431</v>
      </c>
      <c r="C320">
        <v>-31380.225408894359</v>
      </c>
    </row>
    <row r="321" spans="1:3">
      <c r="A321">
        <v>289</v>
      </c>
      <c r="B321">
        <v>708549.14169973915</v>
      </c>
      <c r="C321">
        <v>20875.278300260892</v>
      </c>
    </row>
    <row r="322" spans="1:3">
      <c r="A322">
        <v>290</v>
      </c>
      <c r="B322">
        <v>735314.71742438397</v>
      </c>
      <c r="C322">
        <v>-39053.227424383978</v>
      </c>
    </row>
    <row r="323" spans="1:3">
      <c r="A323">
        <v>291</v>
      </c>
      <c r="B323">
        <v>731735.86425572564</v>
      </c>
      <c r="C323">
        <v>81580.845744274324</v>
      </c>
    </row>
    <row r="324" spans="1:3">
      <c r="A324">
        <v>292</v>
      </c>
      <c r="B324">
        <v>703707.95543785905</v>
      </c>
      <c r="C324">
        <v>-1639.0354378590127</v>
      </c>
    </row>
    <row r="325" spans="1:3">
      <c r="A325">
        <v>293</v>
      </c>
      <c r="B325">
        <v>581844.63100270624</v>
      </c>
      <c r="C325">
        <v>-35620.931002706289</v>
      </c>
    </row>
    <row r="326" spans="1:3">
      <c r="A326">
        <v>294</v>
      </c>
      <c r="B326">
        <v>530451.50892913097</v>
      </c>
      <c r="C326">
        <v>2669.7510708690388</v>
      </c>
    </row>
    <row r="327" spans="1:3">
      <c r="A327">
        <v>295</v>
      </c>
      <c r="B327">
        <v>517727.36014143645</v>
      </c>
      <c r="C327">
        <v>-18757.040141436446</v>
      </c>
    </row>
    <row r="328" spans="1:3">
      <c r="A328">
        <v>296</v>
      </c>
      <c r="B328">
        <v>478458.5809984607</v>
      </c>
      <c r="C328">
        <v>9279.6790015393053</v>
      </c>
    </row>
    <row r="329" spans="1:3">
      <c r="A329">
        <v>297</v>
      </c>
      <c r="B329">
        <v>662319.3080939122</v>
      </c>
      <c r="C329">
        <v>6140.0619060877943</v>
      </c>
    </row>
    <row r="330" spans="1:3">
      <c r="A330">
        <v>298</v>
      </c>
      <c r="B330">
        <v>676665.21783820994</v>
      </c>
      <c r="C330">
        <v>86497.232161790016</v>
      </c>
    </row>
    <row r="331" spans="1:3">
      <c r="A331">
        <v>299</v>
      </c>
      <c r="B331">
        <v>613520.81421138893</v>
      </c>
      <c r="C331">
        <v>-14503.484211388975</v>
      </c>
    </row>
    <row r="332" spans="1:3">
      <c r="A332">
        <v>300</v>
      </c>
      <c r="B332">
        <v>469499.2243753206</v>
      </c>
      <c r="C332">
        <v>-67916.644375320582</v>
      </c>
    </row>
    <row r="333" spans="1:3">
      <c r="A333">
        <v>301</v>
      </c>
      <c r="B333">
        <v>735918.67232260539</v>
      </c>
      <c r="C333">
        <v>-32105.682322605397</v>
      </c>
    </row>
    <row r="334" spans="1:3">
      <c r="A334">
        <v>302</v>
      </c>
      <c r="B334">
        <v>719514.77976044232</v>
      </c>
      <c r="C334">
        <v>4831.9502395576565</v>
      </c>
    </row>
    <row r="335" spans="1:3">
      <c r="A335">
        <v>303</v>
      </c>
      <c r="B335">
        <v>746763.66607599822</v>
      </c>
      <c r="C335">
        <v>-15873.656075998209</v>
      </c>
    </row>
    <row r="336" spans="1:3">
      <c r="A336">
        <v>304</v>
      </c>
      <c r="B336">
        <v>715608.68214629008</v>
      </c>
      <c r="C336">
        <v>64972.267853709869</v>
      </c>
    </row>
    <row r="337" spans="1:3">
      <c r="A337">
        <v>305</v>
      </c>
      <c r="B337">
        <v>701682.69104600337</v>
      </c>
      <c r="C337">
        <v>26274.788953996613</v>
      </c>
    </row>
    <row r="338" spans="1:3">
      <c r="A338">
        <v>306</v>
      </c>
      <c r="B338">
        <v>650817.98406209412</v>
      </c>
      <c r="C338">
        <v>-112441.98406209412</v>
      </c>
    </row>
    <row r="339" spans="1:3">
      <c r="A339">
        <v>307</v>
      </c>
      <c r="B339">
        <v>640583.3487948596</v>
      </c>
      <c r="C339">
        <v>24759.14120514039</v>
      </c>
    </row>
    <row r="340" spans="1:3">
      <c r="A340">
        <v>308</v>
      </c>
      <c r="B340">
        <v>717846.58015074686</v>
      </c>
      <c r="C340">
        <v>-66682.400150746806</v>
      </c>
    </row>
    <row r="341" spans="1:3">
      <c r="A341">
        <v>309</v>
      </c>
      <c r="B341">
        <v>648398.24009837781</v>
      </c>
      <c r="C341">
        <v>-19859.94009837776</v>
      </c>
    </row>
    <row r="342" spans="1:3">
      <c r="A342">
        <v>310</v>
      </c>
      <c r="B342">
        <v>587921.66716426471</v>
      </c>
      <c r="C342">
        <v>-51396.827164264745</v>
      </c>
    </row>
    <row r="343" spans="1:3">
      <c r="A343">
        <v>311</v>
      </c>
      <c r="B343">
        <v>642777.69288805278</v>
      </c>
      <c r="C343">
        <v>-21100.392888052738</v>
      </c>
    </row>
    <row r="344" spans="1:3">
      <c r="A344">
        <v>312</v>
      </c>
      <c r="B344">
        <v>723688.70530987624</v>
      </c>
      <c r="C344">
        <v>47440.364690123708</v>
      </c>
    </row>
    <row r="345" spans="1:3">
      <c r="A345">
        <v>313</v>
      </c>
      <c r="B345">
        <v>677787.01197440224</v>
      </c>
      <c r="C345">
        <v>24265.458025597734</v>
      </c>
    </row>
    <row r="346" spans="1:3">
      <c r="A346">
        <v>314</v>
      </c>
      <c r="B346">
        <v>688836.47555505938</v>
      </c>
      <c r="C346">
        <v>-468.01555505942088</v>
      </c>
    </row>
    <row r="347" spans="1:3">
      <c r="A347">
        <v>315</v>
      </c>
      <c r="B347">
        <v>703788.19591276394</v>
      </c>
      <c r="C347">
        <v>8587.5740872360766</v>
      </c>
    </row>
    <row r="348" spans="1:3">
      <c r="A348">
        <v>316</v>
      </c>
      <c r="B348">
        <v>818297.67360867409</v>
      </c>
      <c r="C348">
        <v>26412.996391325956</v>
      </c>
    </row>
    <row r="349" spans="1:3">
      <c r="A349">
        <v>317</v>
      </c>
      <c r="B349">
        <v>688677.10489602957</v>
      </c>
      <c r="C349">
        <v>-68412.90489602962</v>
      </c>
    </row>
    <row r="350" spans="1:3">
      <c r="A350">
        <v>318</v>
      </c>
      <c r="B350">
        <v>523689.04334314313</v>
      </c>
      <c r="C350">
        <v>13156.376656856912</v>
      </c>
    </row>
    <row r="351" spans="1:3">
      <c r="A351">
        <v>319</v>
      </c>
      <c r="B351">
        <v>748862.35152218328</v>
      </c>
      <c r="C351">
        <v>-22086.131522183307</v>
      </c>
    </row>
    <row r="352" spans="1:3" ht="15" thickBot="1">
      <c r="A352" s="5">
        <v>320</v>
      </c>
      <c r="B352" s="5">
        <v>604377.13987439068</v>
      </c>
      <c r="C352" s="5">
        <v>-44716.299874390708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5DAB9-32E8-417C-87F3-9FBF0892FC93}">
  <dimension ref="A1:U321"/>
  <sheetViews>
    <sheetView tabSelected="1" zoomScale="70" zoomScaleNormal="70" workbookViewId="0">
      <selection activeCell="V8" sqref="V8"/>
    </sheetView>
  </sheetViews>
  <sheetFormatPr defaultRowHeight="14.5"/>
  <cols>
    <col min="17" max="17" width="21.7265625" customWidth="1"/>
    <col min="18" max="18" width="17.36328125" customWidth="1"/>
    <col min="19" max="19" width="17.1796875" customWidth="1"/>
    <col min="20" max="20" width="15.90625" customWidth="1"/>
    <col min="21" max="21" width="14.6328125" customWidth="1"/>
  </cols>
  <sheetData>
    <row r="1" spans="1:21" ht="27" customHeight="1">
      <c r="A1" s="1" t="s">
        <v>0</v>
      </c>
      <c r="B1" s="1" t="s">
        <v>1</v>
      </c>
      <c r="C1" s="1" t="s">
        <v>2</v>
      </c>
      <c r="D1" s="1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8" t="s">
        <v>138</v>
      </c>
      <c r="U1" s="1" t="s">
        <v>114</v>
      </c>
    </row>
    <row r="2" spans="1:21">
      <c r="A2" t="s">
        <v>38</v>
      </c>
      <c r="B2" s="2">
        <v>45717</v>
      </c>
      <c r="C2" t="s">
        <v>27</v>
      </c>
      <c r="D2" t="s">
        <v>18</v>
      </c>
      <c r="E2">
        <v>79346.100000000006</v>
      </c>
      <c r="F2">
        <v>9628</v>
      </c>
      <c r="G2">
        <v>0.10199999999999999</v>
      </c>
      <c r="H2">
        <v>20</v>
      </c>
      <c r="I2">
        <v>99</v>
      </c>
      <c r="J2">
        <v>19.010000000000002</v>
      </c>
      <c r="K2">
        <v>1</v>
      </c>
      <c r="L2">
        <v>3.2</v>
      </c>
      <c r="M2">
        <v>685379.08</v>
      </c>
      <c r="N2">
        <v>106898.82</v>
      </c>
      <c r="O2">
        <f t="shared" ref="O2:O65" si="0">IF(ISBLANK(J2),$AA$1,J2)</f>
        <v>19.010000000000002</v>
      </c>
      <c r="P2">
        <f t="shared" ref="P2:P65" si="1">IF(ISBLANK(L2),$AB$1,L2)</f>
        <v>3.2</v>
      </c>
      <c r="Q2">
        <f t="shared" ref="Q2:Q65" si="2">IF(TRIM($C2)="North",1,0)</f>
        <v>0</v>
      </c>
      <c r="R2">
        <f t="shared" ref="R2:R65" si="3">IF(TRIM($C2)="South",1,0)</f>
        <v>0</v>
      </c>
      <c r="S2">
        <f t="shared" ref="S2:S65" si="4">IF(TRIM($C2)="West",1,0)</f>
        <v>1</v>
      </c>
      <c r="T2" s="9">
        <f t="shared" ref="T2:T65" si="5">67872.24452+(1.191785586*E2)+(28.84384382*F2)+(2946.815912*I2)+(2577.105881*H2)+(10386.38644*P2)+(12885.25058*K2)+(9508.793539*Q2)+(23759.38097*R2)+(18572.09895*S2)</f>
        <v>848114.99015027459</v>
      </c>
      <c r="U2" s="9">
        <f t="shared" ref="U2:U65" si="6">M2-T2</f>
        <v>-162735.91015027463</v>
      </c>
    </row>
    <row r="3" spans="1:21">
      <c r="A3" t="s">
        <v>33</v>
      </c>
      <c r="B3" s="2">
        <v>45658</v>
      </c>
      <c r="C3" t="s">
        <v>27</v>
      </c>
      <c r="D3" t="s">
        <v>16</v>
      </c>
      <c r="E3">
        <v>138855.51</v>
      </c>
      <c r="F3">
        <v>5145</v>
      </c>
      <c r="G3">
        <v>0.06</v>
      </c>
      <c r="H3">
        <v>17</v>
      </c>
      <c r="I3">
        <v>88.2</v>
      </c>
      <c r="J3">
        <v>9.58</v>
      </c>
      <c r="K3">
        <v>0</v>
      </c>
      <c r="L3">
        <v>3.2</v>
      </c>
      <c r="M3">
        <v>595467.6</v>
      </c>
      <c r="N3">
        <v>104276.46</v>
      </c>
      <c r="O3">
        <f t="shared" si="0"/>
        <v>9.58</v>
      </c>
      <c r="P3">
        <f t="shared" si="1"/>
        <v>3.2</v>
      </c>
      <c r="Q3">
        <f t="shared" si="2"/>
        <v>0</v>
      </c>
      <c r="R3">
        <f t="shared" si="3"/>
        <v>0</v>
      </c>
      <c r="S3">
        <f t="shared" si="4"/>
        <v>1</v>
      </c>
      <c r="T3" s="9">
        <f t="shared" si="5"/>
        <v>737288.31530197884</v>
      </c>
      <c r="U3" s="9">
        <f t="shared" si="6"/>
        <v>-141820.71530197887</v>
      </c>
    </row>
    <row r="4" spans="1:21">
      <c r="A4" t="s">
        <v>44</v>
      </c>
      <c r="B4" s="2">
        <v>45689</v>
      </c>
      <c r="C4" t="s">
        <v>24</v>
      </c>
      <c r="D4" t="s">
        <v>28</v>
      </c>
      <c r="E4">
        <v>141540.29</v>
      </c>
      <c r="F4">
        <v>5400</v>
      </c>
      <c r="G4">
        <v>1.2999999999999999E-2</v>
      </c>
      <c r="H4">
        <v>12</v>
      </c>
      <c r="I4">
        <v>87</v>
      </c>
      <c r="J4">
        <v>4.26</v>
      </c>
      <c r="K4">
        <v>0</v>
      </c>
      <c r="L4">
        <v>4.5</v>
      </c>
      <c r="M4">
        <v>627171.9</v>
      </c>
      <c r="N4">
        <v>105772.75</v>
      </c>
      <c r="O4">
        <f t="shared" si="0"/>
        <v>4.26</v>
      </c>
      <c r="P4">
        <f t="shared" si="1"/>
        <v>4.5</v>
      </c>
      <c r="Q4">
        <f t="shared" si="2"/>
        <v>0</v>
      </c>
      <c r="R4">
        <f t="shared" si="3"/>
        <v>1</v>
      </c>
      <c r="S4">
        <f t="shared" si="4"/>
        <v>0</v>
      </c>
      <c r="T4" s="9">
        <f t="shared" si="5"/>
        <v>750111.0534742598</v>
      </c>
      <c r="U4" s="9">
        <f t="shared" si="6"/>
        <v>-122939.15347425977</v>
      </c>
    </row>
    <row r="5" spans="1:21">
      <c r="A5" t="s">
        <v>30</v>
      </c>
      <c r="B5" s="2">
        <v>45658</v>
      </c>
      <c r="C5" t="s">
        <v>20</v>
      </c>
      <c r="D5" t="s">
        <v>16</v>
      </c>
      <c r="E5">
        <v>54597.83</v>
      </c>
      <c r="F5">
        <v>9429</v>
      </c>
      <c r="G5">
        <v>0.188</v>
      </c>
      <c r="H5">
        <v>21</v>
      </c>
      <c r="I5">
        <v>83.3</v>
      </c>
      <c r="J5">
        <v>11.71</v>
      </c>
      <c r="K5">
        <v>0</v>
      </c>
      <c r="L5">
        <v>4.2</v>
      </c>
      <c r="M5">
        <v>641865.03</v>
      </c>
      <c r="N5">
        <v>81342.58</v>
      </c>
      <c r="O5">
        <f t="shared" si="0"/>
        <v>11.71</v>
      </c>
      <c r="P5">
        <f t="shared" si="1"/>
        <v>4.2</v>
      </c>
      <c r="Q5">
        <f t="shared" si="2"/>
        <v>1</v>
      </c>
      <c r="R5">
        <f t="shared" si="3"/>
        <v>0</v>
      </c>
      <c r="S5">
        <f t="shared" si="4"/>
        <v>0</v>
      </c>
      <c r="T5" s="9">
        <f t="shared" si="5"/>
        <v>757630.36027725833</v>
      </c>
      <c r="U5" s="9">
        <f t="shared" si="6"/>
        <v>-115765.3302772583</v>
      </c>
    </row>
    <row r="6" spans="1:21">
      <c r="A6" t="s">
        <v>98</v>
      </c>
      <c r="B6" s="2">
        <v>45689</v>
      </c>
      <c r="C6" t="s">
        <v>24</v>
      </c>
      <c r="D6" t="s">
        <v>16</v>
      </c>
      <c r="E6">
        <v>46146.239999999998</v>
      </c>
      <c r="F6">
        <v>5804</v>
      </c>
      <c r="G6">
        <v>4.7E-2</v>
      </c>
      <c r="H6">
        <v>16</v>
      </c>
      <c r="I6">
        <v>86.9</v>
      </c>
      <c r="J6">
        <v>15.82</v>
      </c>
      <c r="K6">
        <v>0</v>
      </c>
      <c r="L6">
        <v>3.8</v>
      </c>
      <c r="M6">
        <v>538376</v>
      </c>
      <c r="N6">
        <v>87605.62</v>
      </c>
      <c r="O6">
        <f t="shared" si="0"/>
        <v>15.82</v>
      </c>
      <c r="P6">
        <f t="shared" si="1"/>
        <v>3.8</v>
      </c>
      <c r="Q6">
        <f t="shared" si="2"/>
        <v>0</v>
      </c>
      <c r="R6">
        <f t="shared" si="3"/>
        <v>1</v>
      </c>
      <c r="S6">
        <f t="shared" si="4"/>
        <v>0</v>
      </c>
      <c r="T6" s="9">
        <f t="shared" si="5"/>
        <v>650817.98402217682</v>
      </c>
      <c r="U6" s="9">
        <f t="shared" si="6"/>
        <v>-112441.98402217682</v>
      </c>
    </row>
    <row r="7" spans="1:21">
      <c r="A7" t="s">
        <v>25</v>
      </c>
      <c r="B7" s="2">
        <v>45658</v>
      </c>
      <c r="C7" t="s">
        <v>20</v>
      </c>
      <c r="D7" t="s">
        <v>16</v>
      </c>
      <c r="E7">
        <v>30356.28</v>
      </c>
      <c r="F7">
        <v>2822</v>
      </c>
      <c r="G7">
        <v>0.23100000000000001</v>
      </c>
      <c r="H7">
        <v>9</v>
      </c>
      <c r="I7">
        <v>84.8</v>
      </c>
      <c r="J7">
        <v>6.95</v>
      </c>
      <c r="K7">
        <v>0</v>
      </c>
      <c r="L7">
        <v>5</v>
      </c>
      <c r="M7">
        <v>415721.82</v>
      </c>
      <c r="N7">
        <v>61179.15</v>
      </c>
      <c r="O7">
        <f t="shared" si="0"/>
        <v>6.95</v>
      </c>
      <c r="P7">
        <f t="shared" si="1"/>
        <v>5</v>
      </c>
      <c r="Q7">
        <f t="shared" si="2"/>
        <v>1</v>
      </c>
      <c r="R7">
        <f t="shared" si="3"/>
        <v>0</v>
      </c>
      <c r="S7">
        <f t="shared" si="4"/>
        <v>0</v>
      </c>
      <c r="T7" s="9">
        <f t="shared" si="5"/>
        <v>519972.41673422005</v>
      </c>
      <c r="U7" s="9">
        <f t="shared" si="6"/>
        <v>-104250.59673422005</v>
      </c>
    </row>
    <row r="8" spans="1:21">
      <c r="A8" t="s">
        <v>26</v>
      </c>
      <c r="B8" s="2">
        <v>45689</v>
      </c>
      <c r="C8" t="s">
        <v>27</v>
      </c>
      <c r="D8" t="s">
        <v>28</v>
      </c>
      <c r="E8">
        <v>172415.52</v>
      </c>
      <c r="F8">
        <v>8927</v>
      </c>
      <c r="G8">
        <v>0.14000000000000001</v>
      </c>
      <c r="H8">
        <v>22</v>
      </c>
      <c r="I8">
        <v>86.2</v>
      </c>
      <c r="J8">
        <v>7.04</v>
      </c>
      <c r="K8">
        <v>0</v>
      </c>
      <c r="L8">
        <v>3.9</v>
      </c>
      <c r="M8">
        <v>800451.94</v>
      </c>
      <c r="N8">
        <v>111572.29</v>
      </c>
      <c r="O8">
        <f t="shared" si="0"/>
        <v>7.04</v>
      </c>
      <c r="P8">
        <f t="shared" si="1"/>
        <v>3.9</v>
      </c>
      <c r="Q8">
        <f t="shared" si="2"/>
        <v>0</v>
      </c>
      <c r="R8">
        <f t="shared" si="3"/>
        <v>0</v>
      </c>
      <c r="S8">
        <f t="shared" si="4"/>
        <v>1</v>
      </c>
      <c r="T8" s="9">
        <f t="shared" si="5"/>
        <v>900634.43690223468</v>
      </c>
      <c r="U8" s="9">
        <f t="shared" si="6"/>
        <v>-100182.49690223474</v>
      </c>
    </row>
    <row r="9" spans="1:21">
      <c r="A9" t="s">
        <v>14</v>
      </c>
      <c r="B9" s="2">
        <v>45748</v>
      </c>
      <c r="C9" t="s">
        <v>15</v>
      </c>
      <c r="D9" t="s">
        <v>16</v>
      </c>
      <c r="E9">
        <v>56856.63</v>
      </c>
      <c r="F9">
        <v>9431</v>
      </c>
      <c r="G9">
        <v>0.14199999999999999</v>
      </c>
      <c r="H9">
        <v>23</v>
      </c>
      <c r="I9">
        <v>86.9</v>
      </c>
      <c r="J9">
        <v>4.97</v>
      </c>
      <c r="K9">
        <v>0</v>
      </c>
      <c r="L9">
        <v>3.4</v>
      </c>
      <c r="M9">
        <v>658920.30000000005</v>
      </c>
      <c r="N9">
        <v>97910.37</v>
      </c>
      <c r="O9">
        <f t="shared" si="0"/>
        <v>4.97</v>
      </c>
      <c r="P9">
        <f t="shared" si="1"/>
        <v>3.4</v>
      </c>
      <c r="Q9">
        <f t="shared" si="2"/>
        <v>0</v>
      </c>
      <c r="R9">
        <f t="shared" si="3"/>
        <v>0</v>
      </c>
      <c r="S9">
        <f t="shared" si="4"/>
        <v>0</v>
      </c>
      <c r="T9" s="9">
        <f t="shared" si="5"/>
        <v>758324.89960075519</v>
      </c>
      <c r="U9" s="9">
        <f t="shared" si="6"/>
        <v>-99404.599600755144</v>
      </c>
    </row>
    <row r="10" spans="1:21">
      <c r="A10" t="s">
        <v>35</v>
      </c>
      <c r="B10" s="2">
        <v>45658</v>
      </c>
      <c r="C10" t="s">
        <v>27</v>
      </c>
      <c r="D10" t="s">
        <v>18</v>
      </c>
      <c r="E10">
        <v>53015.46</v>
      </c>
      <c r="F10">
        <v>3279</v>
      </c>
      <c r="G10">
        <v>8.6999999999999994E-2</v>
      </c>
      <c r="H10">
        <v>9</v>
      </c>
      <c r="I10">
        <v>84.3</v>
      </c>
      <c r="J10">
        <v>22.02</v>
      </c>
      <c r="K10">
        <v>0</v>
      </c>
      <c r="L10">
        <v>3.9</v>
      </c>
      <c r="M10">
        <v>463534.25</v>
      </c>
      <c r="N10">
        <v>81834.539999999994</v>
      </c>
      <c r="O10">
        <f t="shared" si="0"/>
        <v>22.02</v>
      </c>
      <c r="P10">
        <f t="shared" si="1"/>
        <v>3.9</v>
      </c>
      <c r="Q10">
        <f t="shared" si="2"/>
        <v>0</v>
      </c>
      <c r="R10">
        <f t="shared" si="3"/>
        <v>0</v>
      </c>
      <c r="S10">
        <f t="shared" si="4"/>
        <v>1</v>
      </c>
      <c r="T10" s="9">
        <f t="shared" si="5"/>
        <v>556323.80984553962</v>
      </c>
      <c r="U10" s="9">
        <f t="shared" si="6"/>
        <v>-92789.559845539625</v>
      </c>
    </row>
    <row r="11" spans="1:21">
      <c r="A11" t="s">
        <v>91</v>
      </c>
      <c r="B11" s="2">
        <v>45658</v>
      </c>
      <c r="C11" t="s">
        <v>24</v>
      </c>
      <c r="D11" t="s">
        <v>16</v>
      </c>
      <c r="E11">
        <v>61784.11</v>
      </c>
      <c r="F11">
        <v>8564</v>
      </c>
      <c r="G11">
        <v>0.13</v>
      </c>
      <c r="H11">
        <v>17</v>
      </c>
      <c r="I11">
        <v>87.4</v>
      </c>
      <c r="J11">
        <v>18.14</v>
      </c>
      <c r="K11">
        <v>1</v>
      </c>
      <c r="L11">
        <v>3.4</v>
      </c>
      <c r="M11">
        <v>673076.34</v>
      </c>
      <c r="N11">
        <v>93899.76</v>
      </c>
      <c r="O11">
        <f t="shared" si="0"/>
        <v>18.14</v>
      </c>
      <c r="P11">
        <f t="shared" si="1"/>
        <v>3.4</v>
      </c>
      <c r="Q11">
        <f t="shared" si="2"/>
        <v>0</v>
      </c>
      <c r="R11">
        <f t="shared" si="3"/>
        <v>1</v>
      </c>
      <c r="S11">
        <f t="shared" si="4"/>
        <v>0</v>
      </c>
      <c r="T11" s="9">
        <f t="shared" si="5"/>
        <v>761845.19086811855</v>
      </c>
      <c r="U11" s="9">
        <f t="shared" si="6"/>
        <v>-88768.850868118578</v>
      </c>
    </row>
    <row r="12" spans="1:21">
      <c r="A12" t="s">
        <v>51</v>
      </c>
      <c r="B12" s="2">
        <v>45717</v>
      </c>
      <c r="C12" t="s">
        <v>27</v>
      </c>
      <c r="D12" t="s">
        <v>16</v>
      </c>
      <c r="E12">
        <v>42415.47</v>
      </c>
      <c r="F12">
        <v>8512</v>
      </c>
      <c r="G12">
        <v>0.13300000000000001</v>
      </c>
      <c r="H12">
        <v>18</v>
      </c>
      <c r="I12">
        <v>96.8</v>
      </c>
      <c r="J12">
        <v>14.95</v>
      </c>
      <c r="K12">
        <v>0</v>
      </c>
      <c r="L12">
        <v>4.5999999999999996</v>
      </c>
      <c r="M12">
        <v>684217.32</v>
      </c>
      <c r="N12">
        <v>136217.19</v>
      </c>
      <c r="O12">
        <f t="shared" si="0"/>
        <v>14.95</v>
      </c>
      <c r="P12">
        <f t="shared" si="1"/>
        <v>4.5999999999999996</v>
      </c>
      <c r="Q12">
        <f t="shared" si="2"/>
        <v>0</v>
      </c>
      <c r="R12">
        <f t="shared" si="3"/>
        <v>0</v>
      </c>
      <c r="S12">
        <f t="shared" si="4"/>
        <v>1</v>
      </c>
      <c r="T12" s="9">
        <f t="shared" si="5"/>
        <v>761930.35159885534</v>
      </c>
      <c r="U12" s="9">
        <f t="shared" si="6"/>
        <v>-77713.031598855392</v>
      </c>
    </row>
    <row r="13" spans="1:21">
      <c r="A13" t="s">
        <v>52</v>
      </c>
      <c r="B13" s="2">
        <v>45748</v>
      </c>
      <c r="C13" t="s">
        <v>20</v>
      </c>
      <c r="D13" t="s">
        <v>18</v>
      </c>
      <c r="E13">
        <v>19063.48</v>
      </c>
      <c r="F13">
        <v>1906</v>
      </c>
      <c r="G13">
        <v>0.216</v>
      </c>
      <c r="H13">
        <v>10</v>
      </c>
      <c r="I13">
        <v>97.8</v>
      </c>
      <c r="J13">
        <v>15.79</v>
      </c>
      <c r="K13">
        <v>0</v>
      </c>
      <c r="L13">
        <v>4.4000000000000004</v>
      </c>
      <c r="M13">
        <v>441275.42</v>
      </c>
      <c r="N13">
        <v>58234.87</v>
      </c>
      <c r="O13">
        <f t="shared" si="0"/>
        <v>15.79</v>
      </c>
      <c r="P13">
        <f t="shared" si="1"/>
        <v>4.4000000000000004</v>
      </c>
      <c r="Q13">
        <f t="shared" si="2"/>
        <v>1</v>
      </c>
      <c r="R13">
        <f t="shared" si="3"/>
        <v>0</v>
      </c>
      <c r="S13">
        <f t="shared" si="4"/>
        <v>0</v>
      </c>
      <c r="T13" s="9">
        <f t="shared" si="5"/>
        <v>514746.74040251924</v>
      </c>
      <c r="U13" s="9">
        <f t="shared" si="6"/>
        <v>-73471.320402519254</v>
      </c>
    </row>
    <row r="14" spans="1:21">
      <c r="A14" t="s">
        <v>40</v>
      </c>
      <c r="B14" s="2">
        <v>45689</v>
      </c>
      <c r="C14" t="s">
        <v>15</v>
      </c>
      <c r="D14" t="s">
        <v>16</v>
      </c>
      <c r="E14">
        <v>53762.92</v>
      </c>
      <c r="F14">
        <v>6821</v>
      </c>
      <c r="G14">
        <v>6.6000000000000003E-2</v>
      </c>
      <c r="H14">
        <v>19</v>
      </c>
      <c r="I14">
        <v>94.6</v>
      </c>
      <c r="J14">
        <v>7.03</v>
      </c>
      <c r="K14">
        <v>0</v>
      </c>
      <c r="L14">
        <v>4.4000000000000004</v>
      </c>
      <c r="M14">
        <v>630829.93999999994</v>
      </c>
      <c r="N14">
        <v>117090.02</v>
      </c>
      <c r="O14">
        <f t="shared" si="0"/>
        <v>7.03</v>
      </c>
      <c r="P14">
        <f t="shared" si="1"/>
        <v>4.4000000000000004</v>
      </c>
      <c r="Q14">
        <f t="shared" si="2"/>
        <v>0</v>
      </c>
      <c r="R14">
        <f t="shared" si="3"/>
        <v>0</v>
      </c>
      <c r="S14">
        <f t="shared" si="4"/>
        <v>0</v>
      </c>
      <c r="T14" s="9">
        <f t="shared" si="5"/>
        <v>702123.87368369114</v>
      </c>
      <c r="U14" s="9">
        <f t="shared" si="6"/>
        <v>-71293.933683691197</v>
      </c>
    </row>
    <row r="15" spans="1:21">
      <c r="A15" t="s">
        <v>64</v>
      </c>
      <c r="B15" s="2">
        <v>45689</v>
      </c>
      <c r="C15" t="s">
        <v>15</v>
      </c>
      <c r="D15" t="s">
        <v>16</v>
      </c>
      <c r="E15">
        <v>32834.480000000003</v>
      </c>
      <c r="F15">
        <v>7576</v>
      </c>
      <c r="G15">
        <v>9.9000000000000005E-2</v>
      </c>
      <c r="H15">
        <v>15</v>
      </c>
      <c r="I15">
        <v>84.1</v>
      </c>
      <c r="J15">
        <v>3.48</v>
      </c>
      <c r="K15">
        <v>0</v>
      </c>
      <c r="L15">
        <v>5</v>
      </c>
      <c r="M15">
        <v>593637.14</v>
      </c>
      <c r="N15">
        <v>106648.14</v>
      </c>
      <c r="O15">
        <f t="shared" si="0"/>
        <v>3.48</v>
      </c>
      <c r="P15">
        <f t="shared" si="1"/>
        <v>5</v>
      </c>
      <c r="Q15">
        <f t="shared" si="2"/>
        <v>0</v>
      </c>
      <c r="R15">
        <f t="shared" si="3"/>
        <v>0</v>
      </c>
      <c r="S15">
        <f t="shared" si="4"/>
        <v>0</v>
      </c>
      <c r="T15" s="9">
        <f t="shared" si="5"/>
        <v>663940.60390232527</v>
      </c>
      <c r="U15" s="9">
        <f t="shared" si="6"/>
        <v>-70303.463902325253</v>
      </c>
    </row>
    <row r="16" spans="1:21">
      <c r="A16" t="s">
        <v>29</v>
      </c>
      <c r="B16" s="2">
        <v>45658</v>
      </c>
      <c r="C16" t="s">
        <v>15</v>
      </c>
      <c r="D16" t="s">
        <v>16</v>
      </c>
      <c r="E16">
        <v>68600.62</v>
      </c>
      <c r="F16">
        <v>3988</v>
      </c>
      <c r="G16">
        <v>0.124</v>
      </c>
      <c r="H16">
        <v>11</v>
      </c>
      <c r="I16">
        <v>85</v>
      </c>
      <c r="J16">
        <v>0.48</v>
      </c>
      <c r="K16">
        <v>0</v>
      </c>
      <c r="L16">
        <v>3.6</v>
      </c>
      <c r="M16">
        <v>511844.41</v>
      </c>
      <c r="N16">
        <v>72774.44</v>
      </c>
      <c r="O16">
        <f t="shared" si="0"/>
        <v>0.48</v>
      </c>
      <c r="P16">
        <f t="shared" si="1"/>
        <v>3.6</v>
      </c>
      <c r="Q16">
        <f t="shared" si="2"/>
        <v>0</v>
      </c>
      <c r="R16">
        <f t="shared" si="3"/>
        <v>0</v>
      </c>
      <c r="S16">
        <f t="shared" si="4"/>
        <v>0</v>
      </c>
      <c r="T16" s="9">
        <f t="shared" si="5"/>
        <v>580877.2321758233</v>
      </c>
      <c r="U16" s="9">
        <f t="shared" si="6"/>
        <v>-69032.822175823327</v>
      </c>
    </row>
    <row r="17" spans="1:21">
      <c r="A17" t="s">
        <v>101</v>
      </c>
      <c r="B17" s="2">
        <v>45658</v>
      </c>
      <c r="C17" t="s">
        <v>15</v>
      </c>
      <c r="D17" t="s">
        <v>16</v>
      </c>
      <c r="E17">
        <v>76614.320000000007</v>
      </c>
      <c r="F17">
        <v>5639</v>
      </c>
      <c r="G17">
        <v>0.17399999999999999</v>
      </c>
      <c r="H17">
        <v>15</v>
      </c>
      <c r="I17">
        <v>92.9</v>
      </c>
      <c r="J17">
        <v>1.02</v>
      </c>
      <c r="K17">
        <v>1</v>
      </c>
      <c r="L17">
        <v>4</v>
      </c>
      <c r="M17">
        <v>620264.19999999995</v>
      </c>
      <c r="N17">
        <v>91365.64</v>
      </c>
      <c r="O17">
        <f t="shared" si="0"/>
        <v>1.02</v>
      </c>
      <c r="P17">
        <f t="shared" si="1"/>
        <v>4</v>
      </c>
      <c r="Q17">
        <f t="shared" si="2"/>
        <v>0</v>
      </c>
      <c r="R17">
        <f t="shared" si="3"/>
        <v>0</v>
      </c>
      <c r="S17">
        <f t="shared" si="4"/>
        <v>0</v>
      </c>
      <c r="T17" s="9">
        <f t="shared" si="5"/>
        <v>688677.10485797154</v>
      </c>
      <c r="U17" s="9">
        <f t="shared" si="6"/>
        <v>-68412.904857971589</v>
      </c>
    </row>
    <row r="18" spans="1:21">
      <c r="A18" t="s">
        <v>96</v>
      </c>
      <c r="B18" s="2">
        <v>45748</v>
      </c>
      <c r="C18" t="s">
        <v>27</v>
      </c>
      <c r="D18" t="s">
        <v>18</v>
      </c>
      <c r="E18">
        <v>24362.98</v>
      </c>
      <c r="F18">
        <v>1462</v>
      </c>
      <c r="G18">
        <v>0.11700000000000001</v>
      </c>
      <c r="H18">
        <v>6</v>
      </c>
      <c r="I18">
        <v>89.3</v>
      </c>
      <c r="J18">
        <v>15.06</v>
      </c>
      <c r="K18">
        <v>0</v>
      </c>
      <c r="L18">
        <v>3.2</v>
      </c>
      <c r="M18">
        <v>401582.58</v>
      </c>
      <c r="N18">
        <v>68454.929999999993</v>
      </c>
      <c r="O18">
        <f t="shared" si="0"/>
        <v>15.06</v>
      </c>
      <c r="P18">
        <f t="shared" si="1"/>
        <v>3.2</v>
      </c>
      <c r="Q18">
        <f t="shared" si="2"/>
        <v>0</v>
      </c>
      <c r="R18">
        <f t="shared" si="3"/>
        <v>0</v>
      </c>
      <c r="S18">
        <f t="shared" si="4"/>
        <v>1</v>
      </c>
      <c r="T18" s="9">
        <f t="shared" si="5"/>
        <v>469499.22436644626</v>
      </c>
      <c r="U18" s="9">
        <f t="shared" si="6"/>
        <v>-67916.644366446242</v>
      </c>
    </row>
    <row r="19" spans="1:21">
      <c r="A19" t="s">
        <v>14</v>
      </c>
      <c r="B19" s="2">
        <v>45689</v>
      </c>
      <c r="C19" t="s">
        <v>15</v>
      </c>
      <c r="D19" t="s">
        <v>16</v>
      </c>
      <c r="E19">
        <v>43827.89</v>
      </c>
      <c r="F19">
        <v>8487</v>
      </c>
      <c r="G19">
        <v>0.16800000000000001</v>
      </c>
      <c r="H19">
        <v>23</v>
      </c>
      <c r="I19">
        <v>84.4</v>
      </c>
      <c r="J19">
        <v>4.3099999999999996</v>
      </c>
      <c r="K19">
        <v>0</v>
      </c>
      <c r="L19">
        <v>2.8</v>
      </c>
      <c r="M19">
        <v>634436</v>
      </c>
      <c r="N19">
        <v>106130.54</v>
      </c>
      <c r="O19">
        <f t="shared" si="0"/>
        <v>4.3099999999999996</v>
      </c>
      <c r="P19">
        <f t="shared" si="1"/>
        <v>2.8</v>
      </c>
      <c r="Q19">
        <f t="shared" si="2"/>
        <v>0</v>
      </c>
      <c r="R19">
        <f t="shared" si="3"/>
        <v>0</v>
      </c>
      <c r="S19">
        <f t="shared" si="4"/>
        <v>0</v>
      </c>
      <c r="T19" s="9">
        <f t="shared" si="5"/>
        <v>701969.97485493356</v>
      </c>
      <c r="U19" s="9">
        <f t="shared" si="6"/>
        <v>-67533.974854933564</v>
      </c>
    </row>
    <row r="20" spans="1:21">
      <c r="A20" t="s">
        <v>14</v>
      </c>
      <c r="B20" s="2">
        <v>45717</v>
      </c>
      <c r="C20" t="s">
        <v>15</v>
      </c>
      <c r="D20" t="s">
        <v>16</v>
      </c>
      <c r="E20">
        <v>59921.75</v>
      </c>
      <c r="F20">
        <v>9113</v>
      </c>
      <c r="G20">
        <v>0.13300000000000001</v>
      </c>
      <c r="H20">
        <v>20</v>
      </c>
      <c r="I20">
        <v>88</v>
      </c>
      <c r="J20">
        <v>12</v>
      </c>
      <c r="K20">
        <v>0</v>
      </c>
      <c r="L20">
        <v>3.2</v>
      </c>
      <c r="M20">
        <v>678722.06</v>
      </c>
      <c r="N20">
        <v>101883.86</v>
      </c>
      <c r="O20">
        <f t="shared" si="0"/>
        <v>12</v>
      </c>
      <c r="P20">
        <f t="shared" si="1"/>
        <v>3.2</v>
      </c>
      <c r="Q20">
        <f t="shared" si="2"/>
        <v>0</v>
      </c>
      <c r="R20">
        <f t="shared" si="3"/>
        <v>0</v>
      </c>
      <c r="S20">
        <f t="shared" si="4"/>
        <v>0</v>
      </c>
      <c r="T20" s="9">
        <f t="shared" si="5"/>
        <v>746238.42567355547</v>
      </c>
      <c r="U20" s="9">
        <f t="shared" si="6"/>
        <v>-67516.36567355541</v>
      </c>
    </row>
    <row r="21" spans="1:21">
      <c r="A21" t="s">
        <v>98</v>
      </c>
      <c r="B21" s="2">
        <v>45748</v>
      </c>
      <c r="C21" t="s">
        <v>24</v>
      </c>
      <c r="D21" t="s">
        <v>16</v>
      </c>
      <c r="E21">
        <v>60684.05</v>
      </c>
      <c r="F21">
        <v>6399</v>
      </c>
      <c r="G21">
        <v>7.4999999999999997E-2</v>
      </c>
      <c r="H21">
        <v>16</v>
      </c>
      <c r="I21">
        <v>99</v>
      </c>
      <c r="J21">
        <v>3.82</v>
      </c>
      <c r="K21">
        <v>0</v>
      </c>
      <c r="L21">
        <v>3.5</v>
      </c>
      <c r="M21">
        <v>651164.18000000005</v>
      </c>
      <c r="N21">
        <v>109466.5</v>
      </c>
      <c r="O21">
        <f t="shared" si="0"/>
        <v>3.82</v>
      </c>
      <c r="P21">
        <f t="shared" si="1"/>
        <v>3.5</v>
      </c>
      <c r="Q21">
        <f t="shared" si="2"/>
        <v>0</v>
      </c>
      <c r="R21">
        <f t="shared" si="3"/>
        <v>1</v>
      </c>
      <c r="S21">
        <f t="shared" si="4"/>
        <v>0</v>
      </c>
      <c r="T21" s="9">
        <f t="shared" si="5"/>
        <v>717846.58010828332</v>
      </c>
      <c r="U21" s="9">
        <f t="shared" si="6"/>
        <v>-66682.400108283269</v>
      </c>
    </row>
    <row r="22" spans="1:21">
      <c r="A22" t="s">
        <v>29</v>
      </c>
      <c r="B22" s="2">
        <v>45748</v>
      </c>
      <c r="C22" t="s">
        <v>15</v>
      </c>
      <c r="D22" t="s">
        <v>16</v>
      </c>
      <c r="E22">
        <v>69816.350000000006</v>
      </c>
      <c r="F22">
        <v>971</v>
      </c>
      <c r="G22">
        <v>0.16800000000000001</v>
      </c>
      <c r="H22">
        <v>5</v>
      </c>
      <c r="I22">
        <v>89.9</v>
      </c>
      <c r="J22">
        <v>12.15</v>
      </c>
      <c r="K22">
        <v>0</v>
      </c>
      <c r="L22">
        <v>3.6</v>
      </c>
      <c r="M22">
        <v>427917.38</v>
      </c>
      <c r="N22">
        <v>81824.31</v>
      </c>
      <c r="O22">
        <f t="shared" si="0"/>
        <v>12.15</v>
      </c>
      <c r="P22">
        <f t="shared" si="1"/>
        <v>3.6</v>
      </c>
      <c r="Q22">
        <f t="shared" si="2"/>
        <v>0</v>
      </c>
      <c r="R22">
        <f t="shared" si="3"/>
        <v>0</v>
      </c>
      <c r="S22">
        <f t="shared" si="4"/>
        <v>0</v>
      </c>
      <c r="T22" s="9">
        <f t="shared" si="5"/>
        <v>494281.00754415104</v>
      </c>
      <c r="U22" s="9">
        <f t="shared" si="6"/>
        <v>-66363.627544151037</v>
      </c>
    </row>
    <row r="23" spans="1:21">
      <c r="A23" t="s">
        <v>54</v>
      </c>
      <c r="B23" s="2">
        <v>45717</v>
      </c>
      <c r="C23" t="s">
        <v>15</v>
      </c>
      <c r="D23" t="s">
        <v>18</v>
      </c>
      <c r="E23">
        <v>50735.63</v>
      </c>
      <c r="F23">
        <v>9619</v>
      </c>
      <c r="G23">
        <v>0.14399999999999999</v>
      </c>
      <c r="H23">
        <v>19</v>
      </c>
      <c r="I23">
        <v>93.8</v>
      </c>
      <c r="J23">
        <v>5.12</v>
      </c>
      <c r="K23">
        <v>1</v>
      </c>
      <c r="L23">
        <v>4.5</v>
      </c>
      <c r="M23">
        <v>725235.28</v>
      </c>
      <c r="N23">
        <v>121632.24</v>
      </c>
      <c r="O23">
        <f t="shared" si="0"/>
        <v>5.12</v>
      </c>
      <c r="P23">
        <f t="shared" si="1"/>
        <v>4.5</v>
      </c>
      <c r="Q23">
        <f t="shared" si="2"/>
        <v>0</v>
      </c>
      <c r="R23">
        <f t="shared" si="3"/>
        <v>0</v>
      </c>
      <c r="S23">
        <f t="shared" si="4"/>
        <v>0</v>
      </c>
      <c r="T23" s="9">
        <f t="shared" si="5"/>
        <v>790787.50459980918</v>
      </c>
      <c r="U23" s="9">
        <f t="shared" si="6"/>
        <v>-65552.224599809153</v>
      </c>
    </row>
    <row r="24" spans="1:21">
      <c r="A24" t="s">
        <v>81</v>
      </c>
      <c r="B24" s="2">
        <v>45658</v>
      </c>
      <c r="C24" t="s">
        <v>27</v>
      </c>
      <c r="D24" t="s">
        <v>28</v>
      </c>
      <c r="E24">
        <v>46495.4</v>
      </c>
      <c r="F24">
        <v>9908</v>
      </c>
      <c r="G24">
        <v>0.121</v>
      </c>
      <c r="H24">
        <v>22</v>
      </c>
      <c r="I24">
        <v>89.4</v>
      </c>
      <c r="J24">
        <v>3.22</v>
      </c>
      <c r="K24">
        <v>0</v>
      </c>
      <c r="L24">
        <v>3.7</v>
      </c>
      <c r="M24">
        <v>721079.35</v>
      </c>
      <c r="N24">
        <v>115295.05</v>
      </c>
      <c r="O24">
        <f t="shared" si="0"/>
        <v>3.22</v>
      </c>
      <c r="P24">
        <f t="shared" si="1"/>
        <v>3.7</v>
      </c>
      <c r="Q24">
        <f t="shared" si="2"/>
        <v>0</v>
      </c>
      <c r="R24">
        <f t="shared" si="3"/>
        <v>0</v>
      </c>
      <c r="S24">
        <f t="shared" si="4"/>
        <v>1</v>
      </c>
      <c r="T24" s="9">
        <f t="shared" si="5"/>
        <v>786212.99731666443</v>
      </c>
      <c r="U24" s="9">
        <f t="shared" si="6"/>
        <v>-65133.647316664457</v>
      </c>
    </row>
    <row r="25" spans="1:21">
      <c r="A25" t="s">
        <v>92</v>
      </c>
      <c r="B25" s="2">
        <v>45658</v>
      </c>
      <c r="C25" t="s">
        <v>24</v>
      </c>
      <c r="D25" t="s">
        <v>18</v>
      </c>
      <c r="E25">
        <v>45940.39</v>
      </c>
      <c r="F25">
        <v>4022</v>
      </c>
      <c r="G25">
        <v>6.9000000000000006E-2</v>
      </c>
      <c r="H25">
        <v>10</v>
      </c>
      <c r="I25">
        <v>83</v>
      </c>
      <c r="J25">
        <v>1.23</v>
      </c>
      <c r="K25">
        <v>1</v>
      </c>
      <c r="L25">
        <v>3.8</v>
      </c>
      <c r="M25">
        <v>524899.56999999995</v>
      </c>
      <c r="N25">
        <v>63619.98</v>
      </c>
      <c r="O25">
        <f t="shared" si="0"/>
        <v>1.23</v>
      </c>
      <c r="P25">
        <f t="shared" si="1"/>
        <v>3.8</v>
      </c>
      <c r="Q25">
        <f t="shared" si="2"/>
        <v>0</v>
      </c>
      <c r="R25">
        <f t="shared" si="3"/>
        <v>1</v>
      </c>
      <c r="S25">
        <f t="shared" si="4"/>
        <v>0</v>
      </c>
      <c r="T25" s="9">
        <f t="shared" si="5"/>
        <v>585102.95850925846</v>
      </c>
      <c r="U25" s="9">
        <f t="shared" si="6"/>
        <v>-60203.388509258511</v>
      </c>
    </row>
    <row r="26" spans="1:21">
      <c r="A26" t="s">
        <v>73</v>
      </c>
      <c r="B26" s="2">
        <v>45748</v>
      </c>
      <c r="C26" t="s">
        <v>15</v>
      </c>
      <c r="D26" t="s">
        <v>28</v>
      </c>
      <c r="E26">
        <v>56413.83</v>
      </c>
      <c r="F26">
        <v>8303</v>
      </c>
      <c r="G26">
        <v>0.11600000000000001</v>
      </c>
      <c r="H26">
        <v>18</v>
      </c>
      <c r="I26">
        <v>93.6</v>
      </c>
      <c r="J26">
        <v>2.7</v>
      </c>
      <c r="K26">
        <v>0</v>
      </c>
      <c r="L26">
        <v>3.7</v>
      </c>
      <c r="M26">
        <v>675917.63</v>
      </c>
      <c r="N26">
        <v>112564.75</v>
      </c>
      <c r="O26">
        <f t="shared" si="0"/>
        <v>2.7</v>
      </c>
      <c r="P26">
        <f t="shared" si="1"/>
        <v>3.7</v>
      </c>
      <c r="Q26">
        <f t="shared" si="2"/>
        <v>0</v>
      </c>
      <c r="R26">
        <f t="shared" si="3"/>
        <v>0</v>
      </c>
      <c r="S26">
        <f t="shared" si="4"/>
        <v>0</v>
      </c>
      <c r="T26" s="9">
        <f t="shared" si="5"/>
        <v>735235.37425171444</v>
      </c>
      <c r="U26" s="9">
        <f t="shared" si="6"/>
        <v>-59317.744251714437</v>
      </c>
    </row>
    <row r="27" spans="1:21">
      <c r="A27" t="s">
        <v>74</v>
      </c>
      <c r="B27" s="2">
        <v>45689</v>
      </c>
      <c r="C27" t="s">
        <v>15</v>
      </c>
      <c r="D27" t="s">
        <v>18</v>
      </c>
      <c r="E27">
        <v>62949.7</v>
      </c>
      <c r="F27">
        <v>9458</v>
      </c>
      <c r="G27">
        <v>0.17100000000000001</v>
      </c>
      <c r="H27">
        <v>19</v>
      </c>
      <c r="I27">
        <v>84.9</v>
      </c>
      <c r="J27">
        <v>5.09</v>
      </c>
      <c r="K27">
        <v>0</v>
      </c>
      <c r="L27">
        <v>3.3</v>
      </c>
      <c r="M27">
        <v>691288.19</v>
      </c>
      <c r="N27">
        <v>159074.14000000001</v>
      </c>
      <c r="O27">
        <f t="shared" si="0"/>
        <v>5.09</v>
      </c>
      <c r="P27">
        <f t="shared" si="1"/>
        <v>3.3</v>
      </c>
      <c r="Q27">
        <f t="shared" si="2"/>
        <v>0</v>
      </c>
      <c r="R27">
        <f t="shared" si="3"/>
        <v>0</v>
      </c>
      <c r="S27">
        <f t="shared" si="4"/>
        <v>0</v>
      </c>
      <c r="T27" s="9">
        <f t="shared" si="5"/>
        <v>749124.6223923841</v>
      </c>
      <c r="U27" s="9">
        <f t="shared" si="6"/>
        <v>-57836.432392384158</v>
      </c>
    </row>
    <row r="28" spans="1:21">
      <c r="A28" t="s">
        <v>17</v>
      </c>
      <c r="B28" s="2">
        <v>45658</v>
      </c>
      <c r="C28" t="s">
        <v>15</v>
      </c>
      <c r="D28" t="s">
        <v>18</v>
      </c>
      <c r="E28">
        <v>48412.639999999999</v>
      </c>
      <c r="F28">
        <v>9545</v>
      </c>
      <c r="G28">
        <v>0.23100000000000001</v>
      </c>
      <c r="H28">
        <v>21</v>
      </c>
      <c r="I28">
        <v>97.6</v>
      </c>
      <c r="J28">
        <v>6.94</v>
      </c>
      <c r="K28">
        <v>1</v>
      </c>
      <c r="L28">
        <v>4.2</v>
      </c>
      <c r="M28">
        <v>741341.44</v>
      </c>
      <c r="N28">
        <v>119208.17</v>
      </c>
      <c r="O28">
        <f t="shared" si="0"/>
        <v>6.94</v>
      </c>
      <c r="P28">
        <f t="shared" si="1"/>
        <v>4.2</v>
      </c>
      <c r="Q28">
        <f t="shared" si="2"/>
        <v>0</v>
      </c>
      <c r="R28">
        <f t="shared" si="3"/>
        <v>0</v>
      </c>
      <c r="S28">
        <f t="shared" si="4"/>
        <v>0</v>
      </c>
      <c r="T28" s="9">
        <f t="shared" si="5"/>
        <v>799120.75045430695</v>
      </c>
      <c r="U28" s="9">
        <f t="shared" si="6"/>
        <v>-57779.310454307008</v>
      </c>
    </row>
    <row r="29" spans="1:21">
      <c r="A29" t="s">
        <v>89</v>
      </c>
      <c r="B29" s="2">
        <v>45658</v>
      </c>
      <c r="C29" t="s">
        <v>15</v>
      </c>
      <c r="D29" t="s">
        <v>28</v>
      </c>
      <c r="E29">
        <v>48752.92</v>
      </c>
      <c r="F29">
        <v>8052</v>
      </c>
      <c r="G29">
        <v>0.106</v>
      </c>
      <c r="H29">
        <v>16</v>
      </c>
      <c r="I29">
        <v>94.9</v>
      </c>
      <c r="J29">
        <v>0.65</v>
      </c>
      <c r="K29">
        <v>0</v>
      </c>
      <c r="L29">
        <v>3.6</v>
      </c>
      <c r="M29">
        <v>660633.99</v>
      </c>
      <c r="N29">
        <v>118768.66</v>
      </c>
      <c r="O29">
        <f t="shared" si="0"/>
        <v>0.65</v>
      </c>
      <c r="P29">
        <f t="shared" si="1"/>
        <v>3.6</v>
      </c>
      <c r="Q29">
        <f t="shared" si="2"/>
        <v>0</v>
      </c>
      <c r="R29">
        <f t="shared" si="3"/>
        <v>0</v>
      </c>
      <c r="S29">
        <f t="shared" si="4"/>
        <v>0</v>
      </c>
      <c r="T29" s="9">
        <f t="shared" si="5"/>
        <v>716503.41761885118</v>
      </c>
      <c r="U29" s="9">
        <f t="shared" si="6"/>
        <v>-55869.427618851187</v>
      </c>
    </row>
    <row r="30" spans="1:21">
      <c r="A30" t="s">
        <v>52</v>
      </c>
      <c r="B30" s="2">
        <v>45658</v>
      </c>
      <c r="C30" t="s">
        <v>20</v>
      </c>
      <c r="D30" t="s">
        <v>18</v>
      </c>
      <c r="E30">
        <v>43896.13</v>
      </c>
      <c r="F30">
        <v>3853</v>
      </c>
      <c r="G30">
        <v>8.7999999999999995E-2</v>
      </c>
      <c r="H30">
        <v>13</v>
      </c>
      <c r="I30">
        <v>83</v>
      </c>
      <c r="J30">
        <v>6.8</v>
      </c>
      <c r="K30">
        <v>0</v>
      </c>
      <c r="L30">
        <v>4.4000000000000004</v>
      </c>
      <c r="M30">
        <v>509484.81</v>
      </c>
      <c r="N30">
        <v>85742.36</v>
      </c>
      <c r="O30">
        <f t="shared" si="0"/>
        <v>6.8</v>
      </c>
      <c r="P30">
        <f t="shared" si="1"/>
        <v>4.4000000000000004</v>
      </c>
      <c r="Q30">
        <f t="shared" si="2"/>
        <v>1</v>
      </c>
      <c r="R30">
        <f t="shared" si="3"/>
        <v>0</v>
      </c>
      <c r="S30">
        <f t="shared" si="4"/>
        <v>0</v>
      </c>
      <c r="T30" s="9">
        <f t="shared" si="5"/>
        <v>564619.34079764213</v>
      </c>
      <c r="U30" s="9">
        <f t="shared" si="6"/>
        <v>-55134.530797642132</v>
      </c>
    </row>
    <row r="31" spans="1:21">
      <c r="A31" t="s">
        <v>22</v>
      </c>
      <c r="B31" s="2">
        <v>45689</v>
      </c>
      <c r="C31" t="s">
        <v>15</v>
      </c>
      <c r="D31" t="s">
        <v>16</v>
      </c>
      <c r="E31">
        <v>55716.82</v>
      </c>
      <c r="F31">
        <v>10054</v>
      </c>
      <c r="G31">
        <v>0.14599999999999999</v>
      </c>
      <c r="H31">
        <v>24</v>
      </c>
      <c r="I31">
        <v>84.9</v>
      </c>
      <c r="J31">
        <v>1.06</v>
      </c>
      <c r="K31">
        <v>0</v>
      </c>
      <c r="L31">
        <v>4.3</v>
      </c>
      <c r="M31">
        <v>726606.28</v>
      </c>
      <c r="N31">
        <v>122729.29</v>
      </c>
      <c r="O31">
        <f t="shared" si="0"/>
        <v>1.06</v>
      </c>
      <c r="P31">
        <f t="shared" si="1"/>
        <v>4.3</v>
      </c>
      <c r="Q31">
        <f t="shared" si="2"/>
        <v>0</v>
      </c>
      <c r="R31">
        <f t="shared" si="3"/>
        <v>0</v>
      </c>
      <c r="S31">
        <f t="shared" si="4"/>
        <v>0</v>
      </c>
      <c r="T31" s="9">
        <f t="shared" si="5"/>
        <v>780967.42702483654</v>
      </c>
      <c r="U31" s="9">
        <f t="shared" si="6"/>
        <v>-54361.147024836508</v>
      </c>
    </row>
    <row r="32" spans="1:21">
      <c r="A32" t="s">
        <v>33</v>
      </c>
      <c r="B32" s="2">
        <v>45689</v>
      </c>
      <c r="C32" t="s">
        <v>27</v>
      </c>
      <c r="D32" t="s">
        <v>16</v>
      </c>
      <c r="E32">
        <v>63630.21</v>
      </c>
      <c r="F32">
        <v>4460</v>
      </c>
      <c r="G32">
        <v>0.23499999999999999</v>
      </c>
      <c r="H32">
        <v>14</v>
      </c>
      <c r="I32">
        <v>98.6</v>
      </c>
      <c r="J32">
        <v>5.52</v>
      </c>
      <c r="K32">
        <v>0</v>
      </c>
      <c r="L32">
        <v>3.5</v>
      </c>
      <c r="M32">
        <v>599603.4</v>
      </c>
      <c r="N32">
        <v>112685.12</v>
      </c>
      <c r="O32">
        <f t="shared" si="0"/>
        <v>5.52</v>
      </c>
      <c r="P32">
        <f t="shared" si="1"/>
        <v>3.5</v>
      </c>
      <c r="Q32">
        <f t="shared" si="2"/>
        <v>0</v>
      </c>
      <c r="R32">
        <f t="shared" si="3"/>
        <v>0</v>
      </c>
      <c r="S32">
        <f t="shared" si="4"/>
        <v>1</v>
      </c>
      <c r="T32" s="9">
        <f t="shared" si="5"/>
        <v>653909.33781655307</v>
      </c>
      <c r="U32" s="9">
        <f t="shared" si="6"/>
        <v>-54305.937816553051</v>
      </c>
    </row>
    <row r="33" spans="1:21">
      <c r="A33" t="s">
        <v>35</v>
      </c>
      <c r="B33" s="2">
        <v>45748</v>
      </c>
      <c r="C33" t="s">
        <v>27</v>
      </c>
      <c r="D33" t="s">
        <v>18</v>
      </c>
      <c r="E33">
        <v>27808.6</v>
      </c>
      <c r="F33">
        <v>2863</v>
      </c>
      <c r="G33">
        <v>0.08</v>
      </c>
      <c r="H33">
        <v>13</v>
      </c>
      <c r="I33">
        <v>89.3</v>
      </c>
      <c r="J33">
        <v>0.47</v>
      </c>
      <c r="K33">
        <v>0</v>
      </c>
      <c r="L33">
        <v>4.0999999999999996</v>
      </c>
      <c r="M33">
        <v>487464.91</v>
      </c>
      <c r="N33">
        <v>64562.26</v>
      </c>
      <c r="O33">
        <f t="shared" si="0"/>
        <v>0.47</v>
      </c>
      <c r="P33">
        <f t="shared" si="1"/>
        <v>4.0999999999999996</v>
      </c>
      <c r="Q33">
        <f t="shared" si="2"/>
        <v>0</v>
      </c>
      <c r="R33">
        <f t="shared" si="3"/>
        <v>0</v>
      </c>
      <c r="S33">
        <f t="shared" si="4"/>
        <v>1</v>
      </c>
      <c r="T33" s="9">
        <f t="shared" si="5"/>
        <v>541403.3787720995</v>
      </c>
      <c r="U33" s="9">
        <f t="shared" si="6"/>
        <v>-53938.468772099528</v>
      </c>
    </row>
    <row r="34" spans="1:21">
      <c r="A34" t="s">
        <v>62</v>
      </c>
      <c r="B34" s="2">
        <v>45658</v>
      </c>
      <c r="C34" t="s">
        <v>24</v>
      </c>
      <c r="D34" t="s">
        <v>18</v>
      </c>
      <c r="E34">
        <v>41443.410000000003</v>
      </c>
      <c r="F34">
        <v>7455</v>
      </c>
      <c r="G34">
        <v>0.17499999999999999</v>
      </c>
      <c r="H34">
        <v>16</v>
      </c>
      <c r="I34">
        <v>90.1</v>
      </c>
      <c r="J34">
        <v>4.05</v>
      </c>
      <c r="K34">
        <v>0</v>
      </c>
      <c r="L34">
        <v>4</v>
      </c>
      <c r="M34">
        <v>650480.06000000006</v>
      </c>
      <c r="N34">
        <v>109012.07</v>
      </c>
      <c r="O34">
        <f t="shared" si="0"/>
        <v>4.05</v>
      </c>
      <c r="P34">
        <f t="shared" si="1"/>
        <v>4</v>
      </c>
      <c r="Q34">
        <f t="shared" si="2"/>
        <v>0</v>
      </c>
      <c r="R34">
        <f t="shared" si="3"/>
        <v>1</v>
      </c>
      <c r="S34">
        <f t="shared" si="4"/>
        <v>0</v>
      </c>
      <c r="T34" s="9">
        <f t="shared" si="5"/>
        <v>704341.49336798838</v>
      </c>
      <c r="U34" s="9">
        <f t="shared" si="6"/>
        <v>-53861.433367988328</v>
      </c>
    </row>
    <row r="35" spans="1:21">
      <c r="A35" t="s">
        <v>71</v>
      </c>
      <c r="B35" s="2">
        <v>45717</v>
      </c>
      <c r="C35" t="s">
        <v>20</v>
      </c>
      <c r="D35" t="s">
        <v>16</v>
      </c>
      <c r="E35">
        <v>54479.33</v>
      </c>
      <c r="F35">
        <v>5012</v>
      </c>
      <c r="G35">
        <v>0.28399999999999997</v>
      </c>
      <c r="H35">
        <v>13</v>
      </c>
      <c r="I35">
        <v>86</v>
      </c>
      <c r="J35">
        <v>2.2400000000000002</v>
      </c>
      <c r="K35">
        <v>1</v>
      </c>
      <c r="L35">
        <v>4.3</v>
      </c>
      <c r="M35">
        <v>578949.84</v>
      </c>
      <c r="N35">
        <v>80253.649999999994</v>
      </c>
      <c r="O35">
        <f t="shared" si="0"/>
        <v>2.2400000000000002</v>
      </c>
      <c r="P35">
        <f t="shared" si="1"/>
        <v>4.3</v>
      </c>
      <c r="Q35">
        <f t="shared" si="2"/>
        <v>1</v>
      </c>
      <c r="R35">
        <f t="shared" si="3"/>
        <v>0</v>
      </c>
      <c r="S35">
        <f t="shared" si="4"/>
        <v>0</v>
      </c>
      <c r="T35" s="9">
        <f t="shared" si="5"/>
        <v>631349.32067077735</v>
      </c>
      <c r="U35" s="9">
        <f t="shared" si="6"/>
        <v>-52399.480670777382</v>
      </c>
    </row>
    <row r="36" spans="1:21">
      <c r="A36" t="s">
        <v>56</v>
      </c>
      <c r="B36" s="2">
        <v>45658</v>
      </c>
      <c r="C36" t="s">
        <v>24</v>
      </c>
      <c r="D36" t="s">
        <v>16</v>
      </c>
      <c r="E36">
        <v>71320.66</v>
      </c>
      <c r="F36">
        <v>7888</v>
      </c>
      <c r="G36">
        <v>4.8000000000000001E-2</v>
      </c>
      <c r="H36">
        <v>20</v>
      </c>
      <c r="I36">
        <v>78.099999999999994</v>
      </c>
      <c r="J36">
        <v>3.4</v>
      </c>
      <c r="K36">
        <v>0</v>
      </c>
      <c r="M36">
        <v>633638.03</v>
      </c>
      <c r="N36">
        <v>99402.01</v>
      </c>
      <c r="O36">
        <f t="shared" si="0"/>
        <v>3.4</v>
      </c>
      <c r="P36">
        <f t="shared" si="1"/>
        <v>0</v>
      </c>
      <c r="Q36">
        <f t="shared" si="2"/>
        <v>0</v>
      </c>
      <c r="R36">
        <f t="shared" si="3"/>
        <v>1</v>
      </c>
      <c r="S36">
        <f t="shared" si="4"/>
        <v>0</v>
      </c>
      <c r="T36" s="9">
        <f t="shared" si="5"/>
        <v>685839.24046136672</v>
      </c>
      <c r="U36" s="9">
        <f t="shared" si="6"/>
        <v>-52201.210461366689</v>
      </c>
    </row>
    <row r="37" spans="1:21">
      <c r="A37" t="s">
        <v>99</v>
      </c>
      <c r="B37" s="2">
        <v>45689</v>
      </c>
      <c r="C37" t="s">
        <v>24</v>
      </c>
      <c r="D37" t="s">
        <v>18</v>
      </c>
      <c r="E37">
        <v>23702.38</v>
      </c>
      <c r="F37">
        <v>5285</v>
      </c>
      <c r="G37">
        <v>0.16700000000000001</v>
      </c>
      <c r="H37">
        <v>14</v>
      </c>
      <c r="I37">
        <v>79.7</v>
      </c>
      <c r="J37">
        <v>1.1000000000000001</v>
      </c>
      <c r="K37">
        <v>0</v>
      </c>
      <c r="L37">
        <v>4.3</v>
      </c>
      <c r="M37">
        <v>536524.84</v>
      </c>
      <c r="N37">
        <v>92752.94</v>
      </c>
      <c r="O37">
        <f t="shared" si="0"/>
        <v>1.1000000000000001</v>
      </c>
      <c r="P37">
        <f t="shared" si="1"/>
        <v>4.3</v>
      </c>
      <c r="Q37">
        <f t="shared" si="2"/>
        <v>0</v>
      </c>
      <c r="R37">
        <f t="shared" si="3"/>
        <v>1</v>
      </c>
      <c r="S37">
        <f t="shared" si="4"/>
        <v>0</v>
      </c>
      <c r="T37" s="9">
        <f t="shared" si="5"/>
        <v>587921.6671289946</v>
      </c>
      <c r="U37" s="9">
        <f t="shared" si="6"/>
        <v>-51396.827128994628</v>
      </c>
    </row>
    <row r="38" spans="1:21">
      <c r="A38" t="s">
        <v>89</v>
      </c>
      <c r="B38" s="2">
        <v>45748</v>
      </c>
      <c r="C38" t="s">
        <v>15</v>
      </c>
      <c r="D38" t="s">
        <v>28</v>
      </c>
      <c r="E38">
        <v>29344.93</v>
      </c>
      <c r="F38">
        <v>7446</v>
      </c>
      <c r="G38">
        <v>0.111</v>
      </c>
      <c r="H38">
        <v>15</v>
      </c>
      <c r="I38">
        <v>86.2</v>
      </c>
      <c r="J38">
        <v>0.2</v>
      </c>
      <c r="K38">
        <v>0</v>
      </c>
      <c r="L38">
        <v>3.2</v>
      </c>
      <c r="M38">
        <v>593343</v>
      </c>
      <c r="N38">
        <v>82832.240000000005</v>
      </c>
      <c r="O38">
        <f t="shared" si="0"/>
        <v>0.2</v>
      </c>
      <c r="P38">
        <f t="shared" si="1"/>
        <v>3.2</v>
      </c>
      <c r="Q38">
        <f t="shared" si="2"/>
        <v>0</v>
      </c>
      <c r="R38">
        <f t="shared" si="3"/>
        <v>0</v>
      </c>
      <c r="S38">
        <f t="shared" si="4"/>
        <v>0</v>
      </c>
      <c r="T38" s="9">
        <f t="shared" si="5"/>
        <v>643524.92663729889</v>
      </c>
      <c r="U38" s="9">
        <f t="shared" si="6"/>
        <v>-50181.926637298893</v>
      </c>
    </row>
    <row r="39" spans="1:21">
      <c r="A39" t="s">
        <v>55</v>
      </c>
      <c r="B39" s="2">
        <v>45658</v>
      </c>
      <c r="C39" t="s">
        <v>20</v>
      </c>
      <c r="D39" t="s">
        <v>18</v>
      </c>
      <c r="E39">
        <v>70276.28</v>
      </c>
      <c r="F39">
        <v>3043</v>
      </c>
      <c r="G39">
        <v>7.9000000000000001E-2</v>
      </c>
      <c r="H39">
        <v>9</v>
      </c>
      <c r="I39">
        <v>87.9</v>
      </c>
      <c r="J39">
        <v>3.77</v>
      </c>
      <c r="K39">
        <v>0</v>
      </c>
      <c r="L39">
        <v>4.4000000000000004</v>
      </c>
      <c r="M39">
        <v>527300.13</v>
      </c>
      <c r="N39">
        <v>84197.87</v>
      </c>
      <c r="O39">
        <f t="shared" si="0"/>
        <v>3.77</v>
      </c>
      <c r="P39">
        <f t="shared" si="1"/>
        <v>4.4000000000000004</v>
      </c>
      <c r="Q39">
        <f t="shared" si="2"/>
        <v>1</v>
      </c>
      <c r="R39">
        <f t="shared" si="3"/>
        <v>0</v>
      </c>
      <c r="S39">
        <f t="shared" si="4"/>
        <v>0</v>
      </c>
      <c r="T39" s="9">
        <f t="shared" si="5"/>
        <v>576826.28427476005</v>
      </c>
      <c r="U39" s="9">
        <f t="shared" si="6"/>
        <v>-49526.154274760047</v>
      </c>
    </row>
    <row r="40" spans="1:21">
      <c r="A40" t="s">
        <v>69</v>
      </c>
      <c r="B40" s="2">
        <v>45748</v>
      </c>
      <c r="C40" t="s">
        <v>15</v>
      </c>
      <c r="D40" t="s">
        <v>18</v>
      </c>
      <c r="E40">
        <v>54966.18</v>
      </c>
      <c r="F40">
        <v>4423</v>
      </c>
      <c r="G40">
        <v>0.186</v>
      </c>
      <c r="H40">
        <v>13</v>
      </c>
      <c r="I40">
        <v>88.7</v>
      </c>
      <c r="J40">
        <v>0.2</v>
      </c>
      <c r="K40">
        <v>0</v>
      </c>
      <c r="L40">
        <v>4.4000000000000004</v>
      </c>
      <c r="M40">
        <v>554012.06999999995</v>
      </c>
      <c r="N40">
        <v>81101.62</v>
      </c>
      <c r="O40">
        <f t="shared" si="0"/>
        <v>0.2</v>
      </c>
      <c r="P40">
        <f t="shared" si="1"/>
        <v>4.4000000000000004</v>
      </c>
      <c r="Q40">
        <f t="shared" si="2"/>
        <v>0</v>
      </c>
      <c r="R40">
        <f t="shared" si="3"/>
        <v>0</v>
      </c>
      <c r="S40">
        <f t="shared" si="4"/>
        <v>0</v>
      </c>
      <c r="T40" s="9">
        <f t="shared" si="5"/>
        <v>601541.51496074151</v>
      </c>
      <c r="U40" s="9">
        <f t="shared" si="6"/>
        <v>-47529.444960741559</v>
      </c>
    </row>
    <row r="41" spans="1:21">
      <c r="A41" t="s">
        <v>71</v>
      </c>
      <c r="B41" s="2">
        <v>45689</v>
      </c>
      <c r="C41" t="s">
        <v>20</v>
      </c>
      <c r="D41" t="s">
        <v>16</v>
      </c>
      <c r="E41">
        <v>54002.83</v>
      </c>
      <c r="F41">
        <v>4366</v>
      </c>
      <c r="G41">
        <v>2.7E-2</v>
      </c>
      <c r="H41">
        <v>15</v>
      </c>
      <c r="I41">
        <v>90.6</v>
      </c>
      <c r="J41">
        <v>12.82</v>
      </c>
      <c r="K41">
        <v>0</v>
      </c>
      <c r="L41">
        <v>4.5999999999999996</v>
      </c>
      <c r="M41">
        <v>574066.61</v>
      </c>
      <c r="N41">
        <v>124674.67</v>
      </c>
      <c r="O41">
        <f t="shared" si="0"/>
        <v>12.82</v>
      </c>
      <c r="P41">
        <f t="shared" si="1"/>
        <v>4.5999999999999996</v>
      </c>
      <c r="Q41">
        <f t="shared" si="2"/>
        <v>1</v>
      </c>
      <c r="R41">
        <f t="shared" si="3"/>
        <v>0</v>
      </c>
      <c r="S41">
        <f t="shared" si="4"/>
        <v>0</v>
      </c>
      <c r="T41" s="9">
        <f t="shared" si="5"/>
        <v>621088.54204052826</v>
      </c>
      <c r="U41" s="9">
        <f t="shared" si="6"/>
        <v>-47021.932040528278</v>
      </c>
    </row>
    <row r="42" spans="1:21">
      <c r="A42" t="s">
        <v>70</v>
      </c>
      <c r="B42" s="2">
        <v>45658</v>
      </c>
      <c r="C42" t="s">
        <v>27</v>
      </c>
      <c r="D42" t="s">
        <v>16</v>
      </c>
      <c r="E42">
        <v>81796.740000000005</v>
      </c>
      <c r="F42">
        <v>6177</v>
      </c>
      <c r="G42">
        <v>0.16400000000000001</v>
      </c>
      <c r="H42">
        <v>14</v>
      </c>
      <c r="I42">
        <v>87.9</v>
      </c>
      <c r="J42">
        <v>0.53</v>
      </c>
      <c r="K42">
        <v>0</v>
      </c>
      <c r="L42">
        <v>3.2</v>
      </c>
      <c r="M42">
        <v>643428.85</v>
      </c>
      <c r="N42">
        <v>94477.63</v>
      </c>
      <c r="O42">
        <f t="shared" si="0"/>
        <v>0.53</v>
      </c>
      <c r="P42">
        <f t="shared" si="1"/>
        <v>3.2</v>
      </c>
      <c r="Q42">
        <f t="shared" si="2"/>
        <v>0</v>
      </c>
      <c r="R42">
        <f t="shared" si="3"/>
        <v>0</v>
      </c>
      <c r="S42">
        <f t="shared" si="4"/>
        <v>1</v>
      </c>
      <c r="T42" s="9">
        <f t="shared" si="5"/>
        <v>690437.98006672971</v>
      </c>
      <c r="U42" s="9">
        <f t="shared" si="6"/>
        <v>-47009.130066729733</v>
      </c>
    </row>
    <row r="43" spans="1:21">
      <c r="A43" t="s">
        <v>70</v>
      </c>
      <c r="B43" s="2">
        <v>45748</v>
      </c>
      <c r="C43" t="s">
        <v>27</v>
      </c>
      <c r="D43" t="s">
        <v>16</v>
      </c>
      <c r="E43">
        <v>41657.64</v>
      </c>
      <c r="F43">
        <v>3135</v>
      </c>
      <c r="G43">
        <v>0.22900000000000001</v>
      </c>
      <c r="H43">
        <v>7</v>
      </c>
      <c r="I43">
        <v>85.4</v>
      </c>
      <c r="J43">
        <v>13.48</v>
      </c>
      <c r="K43">
        <v>0</v>
      </c>
      <c r="M43">
        <v>449465.06</v>
      </c>
      <c r="N43">
        <v>65694.78</v>
      </c>
      <c r="O43">
        <f t="shared" si="0"/>
        <v>13.48</v>
      </c>
      <c r="P43">
        <f t="shared" si="1"/>
        <v>0</v>
      </c>
      <c r="Q43">
        <f t="shared" si="2"/>
        <v>0</v>
      </c>
      <c r="R43">
        <f t="shared" si="3"/>
        <v>0</v>
      </c>
      <c r="S43">
        <f t="shared" si="4"/>
        <v>1</v>
      </c>
      <c r="T43" s="9">
        <f t="shared" si="5"/>
        <v>496214.58879627706</v>
      </c>
      <c r="U43" s="9">
        <f t="shared" si="6"/>
        <v>-46749.528796277067</v>
      </c>
    </row>
    <row r="44" spans="1:21">
      <c r="A44" t="s">
        <v>101</v>
      </c>
      <c r="B44" s="2">
        <v>45748</v>
      </c>
      <c r="C44" t="s">
        <v>15</v>
      </c>
      <c r="D44" t="s">
        <v>16</v>
      </c>
      <c r="E44">
        <v>40553.11</v>
      </c>
      <c r="F44">
        <v>5317</v>
      </c>
      <c r="G44">
        <v>0.16500000000000001</v>
      </c>
      <c r="H44">
        <v>17</v>
      </c>
      <c r="I44">
        <v>84.3</v>
      </c>
      <c r="J44">
        <v>11.82</v>
      </c>
      <c r="K44">
        <v>0</v>
      </c>
      <c r="L44">
        <v>4.0999999999999996</v>
      </c>
      <c r="M44">
        <v>559660.84</v>
      </c>
      <c r="N44">
        <v>71443.61</v>
      </c>
      <c r="O44">
        <f t="shared" si="0"/>
        <v>11.82</v>
      </c>
      <c r="P44">
        <f t="shared" si="1"/>
        <v>4.0999999999999996</v>
      </c>
      <c r="Q44">
        <f t="shared" si="2"/>
        <v>0</v>
      </c>
      <c r="R44">
        <f t="shared" si="3"/>
        <v>0</v>
      </c>
      <c r="S44">
        <f t="shared" si="4"/>
        <v>0</v>
      </c>
      <c r="T44" s="9">
        <f t="shared" si="5"/>
        <v>604377.13983901241</v>
      </c>
      <c r="U44" s="9">
        <f t="shared" si="6"/>
        <v>-44716.299839012441</v>
      </c>
    </row>
    <row r="45" spans="1:21">
      <c r="A45" t="s">
        <v>40</v>
      </c>
      <c r="B45" s="2">
        <v>45748</v>
      </c>
      <c r="C45" t="s">
        <v>15</v>
      </c>
      <c r="D45" t="s">
        <v>16</v>
      </c>
      <c r="E45">
        <v>58749.63</v>
      </c>
      <c r="F45">
        <v>8252</v>
      </c>
      <c r="G45">
        <v>0.20300000000000001</v>
      </c>
      <c r="H45">
        <v>20</v>
      </c>
      <c r="I45">
        <v>85.2</v>
      </c>
      <c r="J45">
        <v>3.61</v>
      </c>
      <c r="K45">
        <v>0</v>
      </c>
      <c r="L45">
        <v>4.5</v>
      </c>
      <c r="M45">
        <v>680840.36</v>
      </c>
      <c r="N45">
        <v>68007.679999999993</v>
      </c>
      <c r="O45">
        <f t="shared" si="0"/>
        <v>3.61</v>
      </c>
      <c r="P45">
        <f t="shared" si="1"/>
        <v>4.5</v>
      </c>
      <c r="Q45">
        <f t="shared" si="2"/>
        <v>0</v>
      </c>
      <c r="R45">
        <f t="shared" si="3"/>
        <v>0</v>
      </c>
      <c r="S45">
        <f t="shared" si="4"/>
        <v>0</v>
      </c>
      <c r="T45" s="9">
        <f t="shared" si="5"/>
        <v>725258.17824187316</v>
      </c>
      <c r="U45" s="9">
        <f t="shared" si="6"/>
        <v>-44417.818241873174</v>
      </c>
    </row>
    <row r="46" spans="1:21">
      <c r="A46" t="s">
        <v>64</v>
      </c>
      <c r="B46" s="2">
        <v>45658</v>
      </c>
      <c r="C46" t="s">
        <v>15</v>
      </c>
      <c r="D46" t="s">
        <v>16</v>
      </c>
      <c r="E46">
        <v>62059.18</v>
      </c>
      <c r="F46">
        <v>9374</v>
      </c>
      <c r="G46">
        <v>0.13600000000000001</v>
      </c>
      <c r="H46">
        <v>25</v>
      </c>
      <c r="I46">
        <v>87.1</v>
      </c>
      <c r="J46">
        <v>12.55</v>
      </c>
      <c r="K46">
        <v>0</v>
      </c>
      <c r="L46">
        <v>4.9000000000000004</v>
      </c>
      <c r="M46">
        <v>739831.73</v>
      </c>
      <c r="N46">
        <v>119490.21</v>
      </c>
      <c r="O46">
        <f t="shared" si="0"/>
        <v>12.55</v>
      </c>
      <c r="P46">
        <f t="shared" si="1"/>
        <v>4.9000000000000004</v>
      </c>
      <c r="Q46">
        <f t="shared" si="2"/>
        <v>0</v>
      </c>
      <c r="R46">
        <f t="shared" si="3"/>
        <v>0</v>
      </c>
      <c r="S46">
        <f t="shared" si="4"/>
        <v>0</v>
      </c>
      <c r="T46" s="9">
        <f t="shared" si="5"/>
        <v>784204.27920785942</v>
      </c>
      <c r="U46" s="9">
        <f t="shared" si="6"/>
        <v>-44372.54920785944</v>
      </c>
    </row>
    <row r="47" spans="1:21">
      <c r="A47" t="s">
        <v>50</v>
      </c>
      <c r="B47" s="2">
        <v>45717</v>
      </c>
      <c r="C47" t="s">
        <v>27</v>
      </c>
      <c r="D47" t="s">
        <v>28</v>
      </c>
      <c r="E47">
        <v>33605.18</v>
      </c>
      <c r="F47">
        <v>9225</v>
      </c>
      <c r="G47">
        <v>0.159</v>
      </c>
      <c r="H47">
        <v>23</v>
      </c>
      <c r="I47">
        <v>88.4</v>
      </c>
      <c r="J47">
        <v>5.91</v>
      </c>
      <c r="K47">
        <v>0</v>
      </c>
      <c r="L47">
        <v>2.8</v>
      </c>
      <c r="M47">
        <v>697287.9</v>
      </c>
      <c r="N47">
        <v>128208.33</v>
      </c>
      <c r="O47">
        <f t="shared" si="0"/>
        <v>5.91</v>
      </c>
      <c r="P47">
        <f t="shared" si="1"/>
        <v>2.8</v>
      </c>
      <c r="Q47">
        <f t="shared" si="2"/>
        <v>0</v>
      </c>
      <c r="R47">
        <f t="shared" si="3"/>
        <v>0</v>
      </c>
      <c r="S47">
        <f t="shared" si="4"/>
        <v>1</v>
      </c>
      <c r="T47" s="9">
        <f t="shared" si="5"/>
        <v>741432.81576423545</v>
      </c>
      <c r="U47" s="9">
        <f t="shared" si="6"/>
        <v>-44144.915764235426</v>
      </c>
    </row>
    <row r="48" spans="1:21">
      <c r="A48" t="s">
        <v>92</v>
      </c>
      <c r="B48" s="2">
        <v>45689</v>
      </c>
      <c r="C48" t="s">
        <v>24</v>
      </c>
      <c r="D48" t="s">
        <v>18</v>
      </c>
      <c r="E48">
        <v>34771.26</v>
      </c>
      <c r="F48">
        <v>4355</v>
      </c>
      <c r="G48">
        <v>5.0999999999999997E-2</v>
      </c>
      <c r="H48">
        <v>15</v>
      </c>
      <c r="I48">
        <v>87.9</v>
      </c>
      <c r="J48">
        <v>3.09</v>
      </c>
      <c r="K48">
        <v>0</v>
      </c>
      <c r="L48">
        <v>4</v>
      </c>
      <c r="M48">
        <v>555557.77</v>
      </c>
      <c r="N48">
        <v>86475.51</v>
      </c>
      <c r="O48">
        <f t="shared" si="0"/>
        <v>3.09</v>
      </c>
      <c r="P48">
        <f t="shared" si="1"/>
        <v>4</v>
      </c>
      <c r="Q48">
        <f t="shared" si="2"/>
        <v>0</v>
      </c>
      <c r="R48">
        <f t="shared" si="3"/>
        <v>1</v>
      </c>
      <c r="S48">
        <f t="shared" si="4"/>
        <v>0</v>
      </c>
      <c r="T48" s="9">
        <f t="shared" si="5"/>
        <v>597913.70444095833</v>
      </c>
      <c r="U48" s="9">
        <f t="shared" si="6"/>
        <v>-42355.934440958314</v>
      </c>
    </row>
    <row r="49" spans="1:21">
      <c r="A49" t="s">
        <v>14</v>
      </c>
      <c r="B49" s="2">
        <v>45658</v>
      </c>
      <c r="C49" t="s">
        <v>15</v>
      </c>
      <c r="D49" t="s">
        <v>16</v>
      </c>
      <c r="E49">
        <v>70389.11</v>
      </c>
      <c r="F49">
        <v>8302</v>
      </c>
      <c r="G49">
        <v>4.2000000000000003E-2</v>
      </c>
      <c r="H49">
        <v>17</v>
      </c>
      <c r="I49">
        <v>75</v>
      </c>
      <c r="J49">
        <v>5.28</v>
      </c>
      <c r="K49">
        <v>1</v>
      </c>
      <c r="L49">
        <v>3.1</v>
      </c>
      <c r="M49">
        <v>658832.62</v>
      </c>
      <c r="N49">
        <v>84349.93</v>
      </c>
      <c r="O49">
        <f t="shared" si="0"/>
        <v>5.28</v>
      </c>
      <c r="P49">
        <f t="shared" si="1"/>
        <v>3.1</v>
      </c>
      <c r="Q49">
        <f t="shared" si="2"/>
        <v>0</v>
      </c>
      <c r="R49">
        <f t="shared" si="3"/>
        <v>0</v>
      </c>
      <c r="S49">
        <f t="shared" si="4"/>
        <v>0</v>
      </c>
      <c r="T49" s="9">
        <f t="shared" si="5"/>
        <v>701127.6045440085</v>
      </c>
      <c r="U49" s="9">
        <f t="shared" si="6"/>
        <v>-42294.984544008505</v>
      </c>
    </row>
    <row r="50" spans="1:21">
      <c r="A50" t="s">
        <v>73</v>
      </c>
      <c r="B50" s="2">
        <v>45717</v>
      </c>
      <c r="C50" t="s">
        <v>15</v>
      </c>
      <c r="D50" t="s">
        <v>28</v>
      </c>
      <c r="E50">
        <v>37983.35</v>
      </c>
      <c r="F50">
        <v>9283</v>
      </c>
      <c r="G50">
        <v>0.14899999999999999</v>
      </c>
      <c r="H50">
        <v>19</v>
      </c>
      <c r="I50">
        <v>83.2</v>
      </c>
      <c r="J50">
        <v>3.82</v>
      </c>
      <c r="K50">
        <v>0</v>
      </c>
      <c r="L50">
        <v>3.7</v>
      </c>
      <c r="M50">
        <v>671868.59</v>
      </c>
      <c r="N50">
        <v>71003.28</v>
      </c>
      <c r="O50">
        <f t="shared" si="0"/>
        <v>3.82</v>
      </c>
      <c r="P50">
        <f t="shared" si="1"/>
        <v>3.7</v>
      </c>
      <c r="Q50">
        <f t="shared" si="2"/>
        <v>0</v>
      </c>
      <c r="R50">
        <f t="shared" si="3"/>
        <v>0</v>
      </c>
      <c r="S50">
        <f t="shared" si="4"/>
        <v>0</v>
      </c>
      <c r="T50" s="9">
        <f t="shared" si="5"/>
        <v>713467.38118445303</v>
      </c>
      <c r="U50" s="9">
        <f t="shared" si="6"/>
        <v>-41598.791184453061</v>
      </c>
    </row>
    <row r="51" spans="1:21">
      <c r="A51" t="s">
        <v>72</v>
      </c>
      <c r="B51" s="2">
        <v>45717</v>
      </c>
      <c r="C51" t="s">
        <v>15</v>
      </c>
      <c r="D51" t="s">
        <v>21</v>
      </c>
      <c r="E51">
        <v>35203.230000000003</v>
      </c>
      <c r="F51">
        <v>6896</v>
      </c>
      <c r="G51">
        <v>3.2000000000000001E-2</v>
      </c>
      <c r="H51">
        <v>14</v>
      </c>
      <c r="I51">
        <v>80.8</v>
      </c>
      <c r="J51">
        <v>8.44</v>
      </c>
      <c r="K51">
        <v>1</v>
      </c>
      <c r="L51">
        <v>5</v>
      </c>
      <c r="M51">
        <v>607084.92000000004</v>
      </c>
      <c r="N51">
        <v>98558.49</v>
      </c>
      <c r="O51">
        <f t="shared" si="0"/>
        <v>8.44</v>
      </c>
      <c r="P51">
        <f t="shared" si="1"/>
        <v>5</v>
      </c>
      <c r="Q51">
        <f t="shared" si="2"/>
        <v>0</v>
      </c>
      <c r="R51">
        <f t="shared" si="3"/>
        <v>0</v>
      </c>
      <c r="S51">
        <f t="shared" si="4"/>
        <v>0</v>
      </c>
      <c r="T51" s="9">
        <f t="shared" si="5"/>
        <v>647733.48440096283</v>
      </c>
      <c r="U51" s="9">
        <f t="shared" si="6"/>
        <v>-40648.564400962787</v>
      </c>
    </row>
    <row r="52" spans="1:21">
      <c r="A52" t="s">
        <v>94</v>
      </c>
      <c r="B52" s="2">
        <v>45689</v>
      </c>
      <c r="C52" t="s">
        <v>15</v>
      </c>
      <c r="D52" t="s">
        <v>16</v>
      </c>
      <c r="E52">
        <v>68909.259999999995</v>
      </c>
      <c r="F52">
        <v>7794</v>
      </c>
      <c r="G52">
        <v>0.28399999999999997</v>
      </c>
      <c r="H52">
        <v>22</v>
      </c>
      <c r="I52">
        <v>89</v>
      </c>
      <c r="J52">
        <v>0.33</v>
      </c>
      <c r="K52">
        <v>0</v>
      </c>
      <c r="L52">
        <v>4</v>
      </c>
      <c r="M52">
        <v>696261.49</v>
      </c>
      <c r="N52">
        <v>72455.350000000006</v>
      </c>
      <c r="O52">
        <f t="shared" si="0"/>
        <v>0.33</v>
      </c>
      <c r="P52">
        <f t="shared" si="1"/>
        <v>4</v>
      </c>
      <c r="Q52">
        <f t="shared" si="2"/>
        <v>0</v>
      </c>
      <c r="R52">
        <f t="shared" si="3"/>
        <v>0</v>
      </c>
      <c r="S52">
        <f t="shared" si="4"/>
        <v>0</v>
      </c>
      <c r="T52" s="9">
        <f t="shared" si="5"/>
        <v>735314.7173730064</v>
      </c>
      <c r="U52" s="9">
        <f t="shared" si="6"/>
        <v>-39053.227373006404</v>
      </c>
    </row>
    <row r="53" spans="1:21">
      <c r="A53" t="s">
        <v>58</v>
      </c>
      <c r="B53" s="2">
        <v>45658</v>
      </c>
      <c r="C53" t="s">
        <v>20</v>
      </c>
      <c r="D53" t="s">
        <v>16</v>
      </c>
      <c r="E53">
        <v>70488.2</v>
      </c>
      <c r="F53">
        <v>4312</v>
      </c>
      <c r="G53">
        <v>0.16900000000000001</v>
      </c>
      <c r="H53">
        <v>12</v>
      </c>
      <c r="I53">
        <v>90.2</v>
      </c>
      <c r="J53">
        <v>3.71</v>
      </c>
      <c r="K53">
        <v>0</v>
      </c>
      <c r="L53">
        <v>3.2</v>
      </c>
      <c r="M53">
        <v>577732.56999999995</v>
      </c>
      <c r="N53">
        <v>93804.27</v>
      </c>
      <c r="O53">
        <f t="shared" si="0"/>
        <v>3.71</v>
      </c>
      <c r="P53">
        <f t="shared" si="1"/>
        <v>3.2</v>
      </c>
      <c r="Q53">
        <f t="shared" si="2"/>
        <v>1</v>
      </c>
      <c r="R53">
        <f t="shared" si="3"/>
        <v>0</v>
      </c>
      <c r="S53">
        <f t="shared" si="4"/>
        <v>0</v>
      </c>
      <c r="T53" s="9">
        <f t="shared" si="5"/>
        <v>615727.01579632505</v>
      </c>
      <c r="U53" s="9">
        <f t="shared" si="6"/>
        <v>-37994.445796325104</v>
      </c>
    </row>
    <row r="54" spans="1:21">
      <c r="A54" t="s">
        <v>58</v>
      </c>
      <c r="B54" s="2">
        <v>45689</v>
      </c>
      <c r="C54" t="s">
        <v>20</v>
      </c>
      <c r="D54" t="s">
        <v>16</v>
      </c>
      <c r="E54">
        <v>50909.27</v>
      </c>
      <c r="F54">
        <v>3152</v>
      </c>
      <c r="G54">
        <v>0.06</v>
      </c>
      <c r="H54">
        <v>13</v>
      </c>
      <c r="I54">
        <v>93.7</v>
      </c>
      <c r="J54">
        <v>10.79</v>
      </c>
      <c r="K54">
        <v>0</v>
      </c>
      <c r="L54">
        <v>3.5</v>
      </c>
      <c r="M54">
        <v>537058.32999999996</v>
      </c>
      <c r="N54">
        <v>93555.71</v>
      </c>
      <c r="O54">
        <f t="shared" si="0"/>
        <v>10.79</v>
      </c>
      <c r="P54">
        <f t="shared" si="1"/>
        <v>3.5</v>
      </c>
      <c r="Q54">
        <f t="shared" si="2"/>
        <v>1</v>
      </c>
      <c r="R54">
        <f t="shared" si="3"/>
        <v>0</v>
      </c>
      <c r="S54">
        <f t="shared" si="4"/>
        <v>0</v>
      </c>
      <c r="T54" s="9">
        <f t="shared" si="5"/>
        <v>574941.14790682215</v>
      </c>
      <c r="U54" s="9">
        <f t="shared" si="6"/>
        <v>-37882.817906822194</v>
      </c>
    </row>
    <row r="55" spans="1:21">
      <c r="A55" t="s">
        <v>38</v>
      </c>
      <c r="B55" s="2">
        <v>45658</v>
      </c>
      <c r="C55" t="s">
        <v>27</v>
      </c>
      <c r="D55" t="s">
        <v>18</v>
      </c>
      <c r="E55">
        <v>70040.31</v>
      </c>
      <c r="F55">
        <v>9175</v>
      </c>
      <c r="G55">
        <v>0.107</v>
      </c>
      <c r="H55">
        <v>23</v>
      </c>
      <c r="I55">
        <v>95.1</v>
      </c>
      <c r="J55">
        <v>6.08</v>
      </c>
      <c r="K55">
        <v>1</v>
      </c>
      <c r="L55">
        <v>3.4</v>
      </c>
      <c r="M55">
        <v>784502.68</v>
      </c>
      <c r="N55">
        <v>129519.72</v>
      </c>
      <c r="O55">
        <f t="shared" si="0"/>
        <v>6.08</v>
      </c>
      <c r="P55">
        <f t="shared" si="1"/>
        <v>3.4</v>
      </c>
      <c r="Q55">
        <f t="shared" si="2"/>
        <v>0</v>
      </c>
      <c r="R55">
        <f t="shared" si="3"/>
        <v>0</v>
      </c>
      <c r="S55">
        <f t="shared" si="4"/>
        <v>1</v>
      </c>
      <c r="T55" s="9">
        <f t="shared" si="5"/>
        <v>822274.23538567172</v>
      </c>
      <c r="U55" s="9">
        <f t="shared" si="6"/>
        <v>-37771.555385671672</v>
      </c>
    </row>
    <row r="56" spans="1:21">
      <c r="A56" t="s">
        <v>52</v>
      </c>
      <c r="B56" s="2">
        <v>45717</v>
      </c>
      <c r="C56" t="s">
        <v>20</v>
      </c>
      <c r="D56" t="s">
        <v>18</v>
      </c>
      <c r="E56">
        <v>48396.13</v>
      </c>
      <c r="F56">
        <v>4423</v>
      </c>
      <c r="G56">
        <v>6.9000000000000006E-2</v>
      </c>
      <c r="H56">
        <v>15</v>
      </c>
      <c r="I56">
        <v>85.7</v>
      </c>
      <c r="J56">
        <v>1.88</v>
      </c>
      <c r="K56">
        <v>0</v>
      </c>
      <c r="L56">
        <v>3.9</v>
      </c>
      <c r="M56">
        <v>557487.26</v>
      </c>
      <c r="N56">
        <v>76432.19</v>
      </c>
      <c r="O56">
        <f t="shared" si="0"/>
        <v>1.88</v>
      </c>
      <c r="P56">
        <f t="shared" si="1"/>
        <v>3.9</v>
      </c>
      <c r="Q56">
        <f t="shared" si="2"/>
        <v>1</v>
      </c>
      <c r="R56">
        <f t="shared" si="3"/>
        <v>0</v>
      </c>
      <c r="S56">
        <f t="shared" si="4"/>
        <v>0</v>
      </c>
      <c r="T56" s="9">
        <f t="shared" si="5"/>
        <v>594340.78841644211</v>
      </c>
      <c r="U56" s="9">
        <f t="shared" si="6"/>
        <v>-36853.528416442103</v>
      </c>
    </row>
    <row r="57" spans="1:21">
      <c r="A57" t="s">
        <v>79</v>
      </c>
      <c r="B57" s="2">
        <v>45658</v>
      </c>
      <c r="C57" t="s">
        <v>15</v>
      </c>
      <c r="D57" t="s">
        <v>18</v>
      </c>
      <c r="E57">
        <v>37324.230000000003</v>
      </c>
      <c r="F57">
        <v>5957</v>
      </c>
      <c r="G57">
        <v>7.0999999999999994E-2</v>
      </c>
      <c r="H57">
        <v>12</v>
      </c>
      <c r="I57">
        <v>85.9</v>
      </c>
      <c r="J57">
        <v>0.37</v>
      </c>
      <c r="K57">
        <v>0</v>
      </c>
      <c r="L57">
        <v>3.8</v>
      </c>
      <c r="M57">
        <v>570963.31000000006</v>
      </c>
      <c r="N57">
        <v>87342.25</v>
      </c>
      <c r="O57">
        <f t="shared" si="0"/>
        <v>0.37</v>
      </c>
      <c r="P57">
        <f t="shared" si="1"/>
        <v>3.8</v>
      </c>
      <c r="Q57">
        <f t="shared" si="2"/>
        <v>0</v>
      </c>
      <c r="R57">
        <f t="shared" si="3"/>
        <v>0</v>
      </c>
      <c r="S57">
        <f t="shared" si="4"/>
        <v>0</v>
      </c>
      <c r="T57" s="9">
        <f t="shared" si="5"/>
        <v>607702.5273630888</v>
      </c>
      <c r="U57" s="9">
        <f t="shared" si="6"/>
        <v>-36739.217363088741</v>
      </c>
    </row>
    <row r="58" spans="1:21">
      <c r="A58" t="s">
        <v>85</v>
      </c>
      <c r="B58" s="2">
        <v>45748</v>
      </c>
      <c r="C58" t="s">
        <v>24</v>
      </c>
      <c r="D58" t="s">
        <v>21</v>
      </c>
      <c r="E58">
        <v>36290.080000000002</v>
      </c>
      <c r="F58">
        <v>5787</v>
      </c>
      <c r="G58">
        <v>0</v>
      </c>
      <c r="H58">
        <v>17</v>
      </c>
      <c r="I58">
        <v>88.3</v>
      </c>
      <c r="J58">
        <v>4.1900000000000004</v>
      </c>
      <c r="K58">
        <v>0</v>
      </c>
      <c r="L58">
        <v>4.0999999999999996</v>
      </c>
      <c r="M58">
        <v>612390.14</v>
      </c>
      <c r="N58">
        <v>108985.74</v>
      </c>
      <c r="O58">
        <f t="shared" si="0"/>
        <v>4.1900000000000004</v>
      </c>
      <c r="P58">
        <f t="shared" si="1"/>
        <v>4.0999999999999996</v>
      </c>
      <c r="Q58">
        <f t="shared" si="2"/>
        <v>0</v>
      </c>
      <c r="R58">
        <f t="shared" si="3"/>
        <v>1</v>
      </c>
      <c r="S58">
        <f t="shared" si="4"/>
        <v>0</v>
      </c>
      <c r="T58" s="9">
        <f t="shared" si="5"/>
        <v>648399.77334572701</v>
      </c>
      <c r="U58" s="9">
        <f t="shared" si="6"/>
        <v>-36009.633345726994</v>
      </c>
    </row>
    <row r="59" spans="1:21">
      <c r="A59" t="s">
        <v>59</v>
      </c>
      <c r="B59" s="2">
        <v>45658</v>
      </c>
      <c r="C59" t="s">
        <v>24</v>
      </c>
      <c r="D59" t="s">
        <v>28</v>
      </c>
      <c r="E59">
        <v>51575.68</v>
      </c>
      <c r="F59">
        <v>5329</v>
      </c>
      <c r="G59">
        <v>4.7E-2</v>
      </c>
      <c r="H59">
        <v>17</v>
      </c>
      <c r="I59">
        <v>88.1</v>
      </c>
      <c r="J59">
        <v>19.78</v>
      </c>
      <c r="K59">
        <v>0</v>
      </c>
      <c r="L59">
        <v>3.8</v>
      </c>
      <c r="M59">
        <v>614024.91</v>
      </c>
      <c r="N59">
        <v>84828.93</v>
      </c>
      <c r="O59">
        <f t="shared" si="0"/>
        <v>19.78</v>
      </c>
      <c r="P59">
        <f t="shared" si="1"/>
        <v>3.8</v>
      </c>
      <c r="Q59">
        <f t="shared" si="2"/>
        <v>0</v>
      </c>
      <c r="R59">
        <f t="shared" si="3"/>
        <v>1</v>
      </c>
      <c r="S59">
        <f t="shared" si="4"/>
        <v>0</v>
      </c>
      <c r="T59" s="9">
        <f t="shared" si="5"/>
        <v>649701.17151512834</v>
      </c>
      <c r="U59" s="9">
        <f t="shared" si="6"/>
        <v>-35676.26151512831</v>
      </c>
    </row>
    <row r="60" spans="1:21">
      <c r="A60" t="s">
        <v>95</v>
      </c>
      <c r="B60" s="2">
        <v>45658</v>
      </c>
      <c r="C60" t="s">
        <v>27</v>
      </c>
      <c r="D60" t="s">
        <v>18</v>
      </c>
      <c r="E60">
        <v>51996.32</v>
      </c>
      <c r="F60">
        <v>3834</v>
      </c>
      <c r="G60">
        <v>9.6000000000000002E-2</v>
      </c>
      <c r="H60">
        <v>8</v>
      </c>
      <c r="I60">
        <v>86.7</v>
      </c>
      <c r="J60">
        <v>6.04</v>
      </c>
      <c r="K60">
        <v>0</v>
      </c>
      <c r="L60">
        <v>4.5</v>
      </c>
      <c r="M60">
        <v>546223.69999999995</v>
      </c>
      <c r="N60">
        <v>100769.17</v>
      </c>
      <c r="O60">
        <f t="shared" si="0"/>
        <v>6.04</v>
      </c>
      <c r="P60">
        <f t="shared" si="1"/>
        <v>4.5</v>
      </c>
      <c r="Q60">
        <f t="shared" si="2"/>
        <v>0</v>
      </c>
      <c r="R60">
        <f t="shared" si="3"/>
        <v>0</v>
      </c>
      <c r="S60">
        <f t="shared" si="4"/>
        <v>1</v>
      </c>
      <c r="T60" s="9">
        <f t="shared" si="5"/>
        <v>581844.6309753235</v>
      </c>
      <c r="U60" s="9">
        <f t="shared" si="6"/>
        <v>-35620.930975323543</v>
      </c>
    </row>
    <row r="61" spans="1:21">
      <c r="A61" t="s">
        <v>23</v>
      </c>
      <c r="B61" s="2">
        <v>45717</v>
      </c>
      <c r="C61" t="s">
        <v>24</v>
      </c>
      <c r="D61" t="s">
        <v>16</v>
      </c>
      <c r="E61">
        <v>78831.12</v>
      </c>
      <c r="F61">
        <v>5538</v>
      </c>
      <c r="G61">
        <v>0</v>
      </c>
      <c r="H61">
        <v>15</v>
      </c>
      <c r="I61">
        <v>94.1</v>
      </c>
      <c r="J61">
        <v>0.2</v>
      </c>
      <c r="K61">
        <v>0</v>
      </c>
      <c r="L61">
        <v>3.9</v>
      </c>
      <c r="M61">
        <v>666573.19999999995</v>
      </c>
      <c r="N61">
        <v>140641.01999999999</v>
      </c>
      <c r="O61">
        <f t="shared" si="0"/>
        <v>0.2</v>
      </c>
      <c r="P61">
        <f t="shared" si="1"/>
        <v>3.9</v>
      </c>
      <c r="Q61">
        <f t="shared" si="2"/>
        <v>0</v>
      </c>
      <c r="R61">
        <f t="shared" si="3"/>
        <v>1</v>
      </c>
      <c r="S61">
        <f t="shared" si="4"/>
        <v>0</v>
      </c>
      <c r="T61" s="9">
        <f t="shared" si="5"/>
        <v>701777.49775959621</v>
      </c>
      <c r="U61" s="9">
        <f t="shared" si="6"/>
        <v>-35204.297759596258</v>
      </c>
    </row>
    <row r="62" spans="1:21">
      <c r="A62" t="s">
        <v>34</v>
      </c>
      <c r="B62" s="2">
        <v>45658</v>
      </c>
      <c r="C62" t="s">
        <v>20</v>
      </c>
      <c r="D62" t="s">
        <v>28</v>
      </c>
      <c r="E62">
        <v>46624.05</v>
      </c>
      <c r="F62">
        <v>5104</v>
      </c>
      <c r="G62">
        <v>0.109</v>
      </c>
      <c r="H62">
        <v>11</v>
      </c>
      <c r="I62">
        <v>97.3</v>
      </c>
      <c r="J62">
        <v>3.49</v>
      </c>
      <c r="K62">
        <v>1</v>
      </c>
      <c r="L62">
        <v>4.7</v>
      </c>
      <c r="M62">
        <v>622811.74</v>
      </c>
      <c r="N62">
        <v>109978.35</v>
      </c>
      <c r="O62">
        <f t="shared" si="0"/>
        <v>3.49</v>
      </c>
      <c r="P62">
        <f t="shared" si="1"/>
        <v>4.7</v>
      </c>
      <c r="Q62">
        <f t="shared" si="2"/>
        <v>1</v>
      </c>
      <c r="R62">
        <f t="shared" si="3"/>
        <v>0</v>
      </c>
      <c r="S62">
        <f t="shared" si="4"/>
        <v>0</v>
      </c>
      <c r="T62" s="9">
        <f t="shared" si="5"/>
        <v>656940.50744382315</v>
      </c>
      <c r="U62" s="9">
        <f t="shared" si="6"/>
        <v>-34128.767443823162</v>
      </c>
    </row>
    <row r="63" spans="1:21">
      <c r="A63" t="s">
        <v>30</v>
      </c>
      <c r="B63" s="2">
        <v>45748</v>
      </c>
      <c r="C63" t="s">
        <v>20</v>
      </c>
      <c r="D63" t="s">
        <v>16</v>
      </c>
      <c r="E63">
        <v>52483.77</v>
      </c>
      <c r="F63">
        <v>10453</v>
      </c>
      <c r="G63">
        <v>0.247</v>
      </c>
      <c r="H63">
        <v>25</v>
      </c>
      <c r="I63">
        <v>99</v>
      </c>
      <c r="J63">
        <v>6.31</v>
      </c>
      <c r="K63">
        <v>0</v>
      </c>
      <c r="L63">
        <v>3.6</v>
      </c>
      <c r="M63">
        <v>800979.78</v>
      </c>
      <c r="N63">
        <v>149242.26999999999</v>
      </c>
      <c r="O63">
        <f t="shared" si="0"/>
        <v>6.31</v>
      </c>
      <c r="P63">
        <f t="shared" si="1"/>
        <v>3.6</v>
      </c>
      <c r="Q63">
        <f t="shared" si="2"/>
        <v>1</v>
      </c>
      <c r="R63">
        <f t="shared" si="3"/>
        <v>0</v>
      </c>
      <c r="S63">
        <f t="shared" si="4"/>
        <v>0</v>
      </c>
      <c r="T63" s="9">
        <f t="shared" si="5"/>
        <v>834988.55159139913</v>
      </c>
      <c r="U63" s="9">
        <f t="shared" si="6"/>
        <v>-34008.771591399098</v>
      </c>
    </row>
    <row r="64" spans="1:21">
      <c r="A64" t="s">
        <v>47</v>
      </c>
      <c r="B64" s="2">
        <v>45689</v>
      </c>
      <c r="C64" t="s">
        <v>15</v>
      </c>
      <c r="D64" t="s">
        <v>28</v>
      </c>
      <c r="E64">
        <v>63101.59</v>
      </c>
      <c r="F64">
        <v>4373</v>
      </c>
      <c r="G64">
        <v>0.17299999999999999</v>
      </c>
      <c r="H64">
        <v>14</v>
      </c>
      <c r="I64">
        <v>90.4</v>
      </c>
      <c r="J64">
        <v>7.87</v>
      </c>
      <c r="K64">
        <v>0</v>
      </c>
      <c r="L64">
        <v>4.7</v>
      </c>
      <c r="M64">
        <v>586626.93999999994</v>
      </c>
      <c r="N64">
        <v>86498.55</v>
      </c>
      <c r="O64">
        <f t="shared" si="0"/>
        <v>7.87</v>
      </c>
      <c r="P64">
        <f t="shared" si="1"/>
        <v>4.7</v>
      </c>
      <c r="Q64">
        <f t="shared" si="2"/>
        <v>0</v>
      </c>
      <c r="R64">
        <f t="shared" si="3"/>
        <v>0</v>
      </c>
      <c r="S64">
        <f t="shared" si="4"/>
        <v>0</v>
      </c>
      <c r="T64" s="9">
        <f t="shared" si="5"/>
        <v>620497.59600734175</v>
      </c>
      <c r="U64" s="9">
        <f t="shared" si="6"/>
        <v>-33870.656007341808</v>
      </c>
    </row>
    <row r="65" spans="1:21">
      <c r="A65" t="s">
        <v>36</v>
      </c>
      <c r="B65" s="2">
        <v>45748</v>
      </c>
      <c r="C65" t="s">
        <v>15</v>
      </c>
      <c r="D65" t="s">
        <v>21</v>
      </c>
      <c r="E65">
        <v>52952.12</v>
      </c>
      <c r="F65">
        <v>4377</v>
      </c>
      <c r="G65">
        <v>9.1999999999999998E-2</v>
      </c>
      <c r="H65">
        <v>14</v>
      </c>
      <c r="I65">
        <v>88.6</v>
      </c>
      <c r="J65">
        <v>13.59</v>
      </c>
      <c r="K65">
        <v>0</v>
      </c>
      <c r="L65">
        <v>3.1</v>
      </c>
      <c r="M65">
        <v>553756.43000000005</v>
      </c>
      <c r="N65">
        <v>86166.77</v>
      </c>
      <c r="O65">
        <f t="shared" si="0"/>
        <v>13.59</v>
      </c>
      <c r="P65">
        <f t="shared" si="1"/>
        <v>3.1</v>
      </c>
      <c r="Q65">
        <f t="shared" si="2"/>
        <v>0</v>
      </c>
      <c r="R65">
        <f t="shared" si="3"/>
        <v>0</v>
      </c>
      <c r="S65">
        <f t="shared" si="4"/>
        <v>0</v>
      </c>
      <c r="T65" s="9">
        <f t="shared" si="5"/>
        <v>586594.4923854823</v>
      </c>
      <c r="U65" s="9">
        <f t="shared" si="6"/>
        <v>-32838.062385482248</v>
      </c>
    </row>
    <row r="66" spans="1:21">
      <c r="A66" t="s">
        <v>23</v>
      </c>
      <c r="B66" s="2">
        <v>45748</v>
      </c>
      <c r="C66" t="s">
        <v>24</v>
      </c>
      <c r="D66" t="s">
        <v>16</v>
      </c>
      <c r="E66">
        <v>41441.93</v>
      </c>
      <c r="F66">
        <v>4865</v>
      </c>
      <c r="G66">
        <v>0.158</v>
      </c>
      <c r="H66">
        <v>16</v>
      </c>
      <c r="I66">
        <v>88.3</v>
      </c>
      <c r="J66">
        <v>0.5</v>
      </c>
      <c r="K66">
        <v>0</v>
      </c>
      <c r="L66">
        <v>4</v>
      </c>
      <c r="M66">
        <v>591619.94999999995</v>
      </c>
      <c r="N66">
        <v>99521.35</v>
      </c>
      <c r="O66">
        <f t="shared" ref="O66:O129" si="7">IF(ISBLANK(J66),$AA$1,J66)</f>
        <v>0.5</v>
      </c>
      <c r="P66">
        <f t="shared" ref="P66:P129" si="8">IF(ISBLANK(L66),$AB$1,L66)</f>
        <v>4</v>
      </c>
      <c r="Q66">
        <f t="shared" ref="Q66:Q129" si="9">IF(TRIM($C66)="North",1,0)</f>
        <v>0</v>
      </c>
      <c r="R66">
        <f t="shared" ref="R66:R129" si="10">IF(TRIM($C66)="South",1,0)</f>
        <v>1</v>
      </c>
      <c r="S66">
        <f t="shared" ref="S66:S129" si="11">IF(TRIM($C66)="West",1,0)</f>
        <v>0</v>
      </c>
      <c r="T66" s="9">
        <f t="shared" ref="T66:T129" si="12">67872.24452+(1.191785586*E66)+(28.84384382*F66)+(2946.815912*I66)+(2577.105881*H66)+(10386.38644*P66)+(12885.25058*K66)+(9508.793539*Q66)+(23759.38097*R66)+(18572.09895*S66)</f>
        <v>624329.90538992104</v>
      </c>
      <c r="U66" s="9">
        <f t="shared" ref="U66:U129" si="13">M66-T66</f>
        <v>-32709.955389921088</v>
      </c>
    </row>
    <row r="67" spans="1:21">
      <c r="A67" t="s">
        <v>50</v>
      </c>
      <c r="B67" s="2">
        <v>45748</v>
      </c>
      <c r="C67" t="s">
        <v>27</v>
      </c>
      <c r="D67" t="s">
        <v>28</v>
      </c>
      <c r="E67">
        <v>25990.54</v>
      </c>
      <c r="F67">
        <v>9249</v>
      </c>
      <c r="G67">
        <v>0.13900000000000001</v>
      </c>
      <c r="H67">
        <v>23</v>
      </c>
      <c r="I67">
        <v>92.5</v>
      </c>
      <c r="J67">
        <v>6.37</v>
      </c>
      <c r="K67">
        <v>0</v>
      </c>
      <c r="L67">
        <v>3.3</v>
      </c>
      <c r="M67">
        <v>718074.79</v>
      </c>
      <c r="N67">
        <v>115819.87</v>
      </c>
      <c r="O67">
        <f t="shared" si="7"/>
        <v>6.37</v>
      </c>
      <c r="P67">
        <f t="shared" si="8"/>
        <v>3.3</v>
      </c>
      <c r="Q67">
        <f t="shared" si="9"/>
        <v>0</v>
      </c>
      <c r="R67">
        <f t="shared" si="10"/>
        <v>0</v>
      </c>
      <c r="S67">
        <f t="shared" si="11"/>
        <v>1</v>
      </c>
      <c r="T67" s="9">
        <f t="shared" si="12"/>
        <v>750325.18828053633</v>
      </c>
      <c r="U67" s="9">
        <f t="shared" si="13"/>
        <v>-32250.39828053629</v>
      </c>
    </row>
    <row r="68" spans="1:21">
      <c r="A68" t="s">
        <v>97</v>
      </c>
      <c r="B68" s="2">
        <v>45658</v>
      </c>
      <c r="C68" t="s">
        <v>20</v>
      </c>
      <c r="D68" t="s">
        <v>28</v>
      </c>
      <c r="E68">
        <v>40647.67</v>
      </c>
      <c r="F68">
        <v>8252</v>
      </c>
      <c r="G68">
        <v>0.14099999999999999</v>
      </c>
      <c r="H68">
        <v>22</v>
      </c>
      <c r="I68">
        <v>88.2</v>
      </c>
      <c r="J68">
        <v>5.07</v>
      </c>
      <c r="K68">
        <v>1</v>
      </c>
      <c r="L68">
        <v>4.0999999999999996</v>
      </c>
      <c r="M68">
        <v>703812.99</v>
      </c>
      <c r="N68">
        <v>133577.98000000001</v>
      </c>
      <c r="O68">
        <f t="shared" si="7"/>
        <v>5.07</v>
      </c>
      <c r="P68">
        <f t="shared" si="8"/>
        <v>4.0999999999999996</v>
      </c>
      <c r="Q68">
        <f t="shared" si="9"/>
        <v>1</v>
      </c>
      <c r="R68">
        <f t="shared" si="10"/>
        <v>0</v>
      </c>
      <c r="S68">
        <f t="shared" si="11"/>
        <v>0</v>
      </c>
      <c r="T68" s="9">
        <f t="shared" si="12"/>
        <v>735918.67227652459</v>
      </c>
      <c r="U68" s="9">
        <f t="shared" si="13"/>
        <v>-32105.682276524603</v>
      </c>
    </row>
    <row r="69" spans="1:21">
      <c r="A69" t="s">
        <v>93</v>
      </c>
      <c r="B69" s="2">
        <v>45748</v>
      </c>
      <c r="C69" t="s">
        <v>27</v>
      </c>
      <c r="D69" t="s">
        <v>16</v>
      </c>
      <c r="E69">
        <v>40928.69</v>
      </c>
      <c r="F69">
        <v>4094</v>
      </c>
      <c r="G69">
        <v>0.17399999999999999</v>
      </c>
      <c r="H69">
        <v>13</v>
      </c>
      <c r="I69">
        <v>82.4</v>
      </c>
      <c r="J69">
        <v>1.36</v>
      </c>
      <c r="K69">
        <v>0</v>
      </c>
      <c r="L69">
        <v>4.8</v>
      </c>
      <c r="M69">
        <v>548103.69999999995</v>
      </c>
      <c r="N69">
        <v>99905.52</v>
      </c>
      <c r="O69">
        <f t="shared" si="7"/>
        <v>1.36</v>
      </c>
      <c r="P69">
        <f t="shared" si="8"/>
        <v>4.8</v>
      </c>
      <c r="Q69">
        <f t="shared" si="9"/>
        <v>0</v>
      </c>
      <c r="R69">
        <f t="shared" si="10"/>
        <v>0</v>
      </c>
      <c r="S69">
        <f t="shared" si="11"/>
        <v>1</v>
      </c>
      <c r="T69" s="9">
        <f t="shared" si="12"/>
        <v>579483.92537874239</v>
      </c>
      <c r="U69" s="9">
        <f t="shared" si="13"/>
        <v>-31380.225378742442</v>
      </c>
    </row>
    <row r="70" spans="1:21">
      <c r="A70" t="s">
        <v>91</v>
      </c>
      <c r="B70" s="2">
        <v>45748</v>
      </c>
      <c r="C70" t="s">
        <v>24</v>
      </c>
      <c r="D70" t="s">
        <v>16</v>
      </c>
      <c r="E70">
        <v>70284.06</v>
      </c>
      <c r="F70">
        <v>9109</v>
      </c>
      <c r="G70">
        <v>4.0000000000000001E-3</v>
      </c>
      <c r="H70">
        <v>23</v>
      </c>
      <c r="I70">
        <v>87</v>
      </c>
      <c r="J70">
        <v>3.65</v>
      </c>
      <c r="K70">
        <v>0</v>
      </c>
      <c r="L70">
        <v>3.7</v>
      </c>
      <c r="M70">
        <v>761122.42</v>
      </c>
      <c r="N70">
        <v>149802.04</v>
      </c>
      <c r="O70">
        <f t="shared" si="7"/>
        <v>3.65</v>
      </c>
      <c r="P70">
        <f t="shared" si="8"/>
        <v>3.7</v>
      </c>
      <c r="Q70">
        <f t="shared" si="9"/>
        <v>0</v>
      </c>
      <c r="R70">
        <f t="shared" si="10"/>
        <v>1</v>
      </c>
      <c r="S70">
        <f t="shared" si="11"/>
        <v>0</v>
      </c>
      <c r="T70" s="9">
        <f t="shared" si="12"/>
        <v>792209.77791493898</v>
      </c>
      <c r="U70" s="9">
        <f t="shared" si="13"/>
        <v>-31087.357914938941</v>
      </c>
    </row>
    <row r="71" spans="1:21">
      <c r="A71" t="s">
        <v>23</v>
      </c>
      <c r="B71" s="2">
        <v>45689</v>
      </c>
      <c r="C71" t="s">
        <v>24</v>
      </c>
      <c r="D71" t="s">
        <v>16</v>
      </c>
      <c r="E71">
        <v>59117.9</v>
      </c>
      <c r="F71">
        <v>4263</v>
      </c>
      <c r="G71">
        <v>0.11899999999999999</v>
      </c>
      <c r="H71">
        <v>9</v>
      </c>
      <c r="I71">
        <v>87.6</v>
      </c>
      <c r="J71">
        <v>4.01</v>
      </c>
      <c r="K71">
        <v>0</v>
      </c>
      <c r="L71">
        <v>3.6</v>
      </c>
      <c r="M71">
        <v>573155.18999999994</v>
      </c>
      <c r="N71">
        <v>83680.75</v>
      </c>
      <c r="O71">
        <f t="shared" si="7"/>
        <v>4.01</v>
      </c>
      <c r="P71">
        <f t="shared" si="8"/>
        <v>3.6</v>
      </c>
      <c r="Q71">
        <f t="shared" si="9"/>
        <v>0</v>
      </c>
      <c r="R71">
        <f t="shared" si="10"/>
        <v>1</v>
      </c>
      <c r="S71">
        <f t="shared" si="11"/>
        <v>0</v>
      </c>
      <c r="T71" s="9">
        <f t="shared" si="12"/>
        <v>603774.8107934494</v>
      </c>
      <c r="U71" s="9">
        <f t="shared" si="13"/>
        <v>-30619.62079344946</v>
      </c>
    </row>
    <row r="72" spans="1:21">
      <c r="A72" t="s">
        <v>29</v>
      </c>
      <c r="B72" s="2">
        <v>45717</v>
      </c>
      <c r="C72" t="s">
        <v>15</v>
      </c>
      <c r="D72" t="s">
        <v>16</v>
      </c>
      <c r="E72">
        <v>44970.080000000002</v>
      </c>
      <c r="F72">
        <v>2471</v>
      </c>
      <c r="G72">
        <v>0.13600000000000001</v>
      </c>
      <c r="H72">
        <v>11</v>
      </c>
      <c r="I72">
        <v>87.6</v>
      </c>
      <c r="J72">
        <v>3.01</v>
      </c>
      <c r="K72">
        <v>1</v>
      </c>
      <c r="L72">
        <v>3.7</v>
      </c>
      <c r="M72">
        <v>500173.02</v>
      </c>
      <c r="N72">
        <v>70982.05</v>
      </c>
      <c r="O72">
        <f t="shared" si="7"/>
        <v>3.01</v>
      </c>
      <c r="P72">
        <f t="shared" si="8"/>
        <v>3.7</v>
      </c>
      <c r="Q72">
        <f t="shared" si="9"/>
        <v>0</v>
      </c>
      <c r="R72">
        <f t="shared" si="10"/>
        <v>0</v>
      </c>
      <c r="S72">
        <f t="shared" si="11"/>
        <v>0</v>
      </c>
      <c r="T72" s="9">
        <f t="shared" si="12"/>
        <v>530544.19473468687</v>
      </c>
      <c r="U72" s="9">
        <f t="shared" si="13"/>
        <v>-30371.174734686851</v>
      </c>
    </row>
    <row r="73" spans="1:21">
      <c r="A73" t="s">
        <v>60</v>
      </c>
      <c r="B73" s="2">
        <v>45717</v>
      </c>
      <c r="C73" t="s">
        <v>15</v>
      </c>
      <c r="D73" t="s">
        <v>18</v>
      </c>
      <c r="E73">
        <v>61433.84</v>
      </c>
      <c r="F73">
        <v>7745</v>
      </c>
      <c r="G73">
        <v>0.18</v>
      </c>
      <c r="H73">
        <v>16</v>
      </c>
      <c r="I73">
        <v>90.5</v>
      </c>
      <c r="J73">
        <v>2.2599999999999998</v>
      </c>
      <c r="K73">
        <v>0</v>
      </c>
      <c r="L73">
        <v>4.2</v>
      </c>
      <c r="M73">
        <v>685830.24</v>
      </c>
      <c r="N73">
        <v>128736.18</v>
      </c>
      <c r="O73">
        <f t="shared" si="7"/>
        <v>2.2599999999999998</v>
      </c>
      <c r="P73">
        <f t="shared" si="8"/>
        <v>4.2</v>
      </c>
      <c r="Q73">
        <f t="shared" si="9"/>
        <v>0</v>
      </c>
      <c r="R73">
        <f t="shared" si="10"/>
        <v>0</v>
      </c>
      <c r="S73">
        <f t="shared" si="11"/>
        <v>0</v>
      </c>
      <c r="T73" s="9">
        <f t="shared" si="12"/>
        <v>716027.13709053025</v>
      </c>
      <c r="U73" s="9">
        <f t="shared" si="13"/>
        <v>-30196.897090530256</v>
      </c>
    </row>
    <row r="74" spans="1:21">
      <c r="A74" t="s">
        <v>31</v>
      </c>
      <c r="B74" s="2">
        <v>45689</v>
      </c>
      <c r="C74" t="s">
        <v>20</v>
      </c>
      <c r="D74" t="s">
        <v>28</v>
      </c>
      <c r="E74">
        <v>61245.41</v>
      </c>
      <c r="F74">
        <v>8156</v>
      </c>
      <c r="G74">
        <v>0.156</v>
      </c>
      <c r="H74">
        <v>19</v>
      </c>
      <c r="I74">
        <v>92.9</v>
      </c>
      <c r="J74">
        <v>9.0500000000000007</v>
      </c>
      <c r="K74">
        <v>0</v>
      </c>
      <c r="L74">
        <v>3.8</v>
      </c>
      <c r="M74">
        <v>718330.53</v>
      </c>
      <c r="N74">
        <v>93247.9</v>
      </c>
      <c r="O74">
        <f t="shared" si="7"/>
        <v>9.0500000000000007</v>
      </c>
      <c r="P74">
        <f t="shared" si="8"/>
        <v>3.8</v>
      </c>
      <c r="Q74">
        <f t="shared" si="9"/>
        <v>1</v>
      </c>
      <c r="R74">
        <f t="shared" si="10"/>
        <v>0</v>
      </c>
      <c r="S74">
        <f t="shared" si="11"/>
        <v>0</v>
      </c>
      <c r="T74" s="9">
        <f t="shared" si="12"/>
        <v>747815.30353738018</v>
      </c>
      <c r="U74" s="9">
        <f t="shared" si="13"/>
        <v>-29484.773537380155</v>
      </c>
    </row>
    <row r="75" spans="1:21">
      <c r="A75" t="s">
        <v>45</v>
      </c>
      <c r="B75" s="2">
        <v>45658</v>
      </c>
      <c r="C75" t="s">
        <v>27</v>
      </c>
      <c r="D75" t="s">
        <v>16</v>
      </c>
      <c r="E75">
        <v>38966.589999999997</v>
      </c>
      <c r="F75">
        <v>4509</v>
      </c>
      <c r="G75">
        <v>0.19400000000000001</v>
      </c>
      <c r="H75">
        <v>14</v>
      </c>
      <c r="I75">
        <v>91.1</v>
      </c>
      <c r="J75">
        <v>2.92</v>
      </c>
      <c r="K75">
        <v>0</v>
      </c>
      <c r="L75">
        <v>4.5999999999999996</v>
      </c>
      <c r="M75">
        <v>585937.48</v>
      </c>
      <c r="N75">
        <v>82624.2</v>
      </c>
      <c r="O75">
        <f t="shared" si="7"/>
        <v>2.92</v>
      </c>
      <c r="P75">
        <f t="shared" si="8"/>
        <v>4.5999999999999996</v>
      </c>
      <c r="Q75">
        <f t="shared" si="9"/>
        <v>0</v>
      </c>
      <c r="R75">
        <f t="shared" si="10"/>
        <v>0</v>
      </c>
      <c r="S75">
        <f t="shared" si="11"/>
        <v>1</v>
      </c>
      <c r="T75" s="9">
        <f t="shared" si="12"/>
        <v>615252.84509315167</v>
      </c>
      <c r="U75" s="9">
        <f t="shared" si="13"/>
        <v>-29315.36509315169</v>
      </c>
    </row>
    <row r="76" spans="1:21">
      <c r="A76" t="s">
        <v>93</v>
      </c>
      <c r="B76" s="2">
        <v>45658</v>
      </c>
      <c r="C76" t="s">
        <v>27</v>
      </c>
      <c r="D76" t="s">
        <v>16</v>
      </c>
      <c r="E76">
        <v>60183.06</v>
      </c>
      <c r="F76">
        <v>5562</v>
      </c>
      <c r="G76">
        <v>8.9999999999999993E-3</v>
      </c>
      <c r="H76">
        <v>13</v>
      </c>
      <c r="I76">
        <v>86.3</v>
      </c>
      <c r="J76">
        <v>0.2</v>
      </c>
      <c r="K76">
        <v>1</v>
      </c>
      <c r="L76">
        <v>4.5</v>
      </c>
      <c r="M76">
        <v>636775.66</v>
      </c>
      <c r="N76">
        <v>122636.86</v>
      </c>
      <c r="O76">
        <f t="shared" si="7"/>
        <v>0.2</v>
      </c>
      <c r="P76">
        <f t="shared" si="8"/>
        <v>4.5</v>
      </c>
      <c r="Q76">
        <f t="shared" si="9"/>
        <v>0</v>
      </c>
      <c r="R76">
        <f t="shared" si="10"/>
        <v>0</v>
      </c>
      <c r="S76">
        <f t="shared" si="11"/>
        <v>1</v>
      </c>
      <c r="T76" s="9">
        <f t="shared" si="12"/>
        <v>666035.68544481322</v>
      </c>
      <c r="U76" s="9">
        <f t="shared" si="13"/>
        <v>-29260.025444813189</v>
      </c>
    </row>
    <row r="77" spans="1:21">
      <c r="A77" t="s">
        <v>41</v>
      </c>
      <c r="B77" s="2">
        <v>45748</v>
      </c>
      <c r="C77" t="s">
        <v>24</v>
      </c>
      <c r="D77" t="s">
        <v>18</v>
      </c>
      <c r="E77">
        <v>77999.899999999994</v>
      </c>
      <c r="F77">
        <v>5974</v>
      </c>
      <c r="G77">
        <v>0.252</v>
      </c>
      <c r="H77">
        <v>14</v>
      </c>
      <c r="I77">
        <v>81.3</v>
      </c>
      <c r="J77">
        <v>2.39</v>
      </c>
      <c r="K77">
        <v>0</v>
      </c>
      <c r="L77">
        <v>3.2</v>
      </c>
      <c r="M77">
        <v>636561.34</v>
      </c>
      <c r="N77">
        <v>93861.06</v>
      </c>
      <c r="O77">
        <f t="shared" si="7"/>
        <v>2.39</v>
      </c>
      <c r="P77">
        <f t="shared" si="8"/>
        <v>3.2</v>
      </c>
      <c r="Q77">
        <f t="shared" si="9"/>
        <v>0</v>
      </c>
      <c r="R77">
        <f t="shared" si="10"/>
        <v>1</v>
      </c>
      <c r="S77">
        <f t="shared" si="11"/>
        <v>0</v>
      </c>
      <c r="T77" s="9">
        <f t="shared" si="12"/>
        <v>665795.95758772152</v>
      </c>
      <c r="U77" s="9">
        <f t="shared" si="13"/>
        <v>-29234.617587721557</v>
      </c>
    </row>
    <row r="78" spans="1:21">
      <c r="A78" t="s">
        <v>19</v>
      </c>
      <c r="B78" s="2">
        <v>45717</v>
      </c>
      <c r="C78" t="s">
        <v>20</v>
      </c>
      <c r="D78" t="s">
        <v>21</v>
      </c>
      <c r="E78">
        <v>34285.21</v>
      </c>
      <c r="F78">
        <v>9172</v>
      </c>
      <c r="G78">
        <v>0.21299999999999999</v>
      </c>
      <c r="H78">
        <v>22</v>
      </c>
      <c r="I78">
        <v>88.3</v>
      </c>
      <c r="J78">
        <v>10.46</v>
      </c>
      <c r="K78">
        <v>1</v>
      </c>
      <c r="L78">
        <v>3.8</v>
      </c>
      <c r="M78">
        <v>723060.76</v>
      </c>
      <c r="N78">
        <v>123131.24</v>
      </c>
      <c r="O78">
        <f t="shared" si="7"/>
        <v>10.46</v>
      </c>
      <c r="P78">
        <f t="shared" si="8"/>
        <v>3.8</v>
      </c>
      <c r="Q78">
        <f t="shared" si="9"/>
        <v>1</v>
      </c>
      <c r="R78">
        <f t="shared" si="10"/>
        <v>0</v>
      </c>
      <c r="S78">
        <f t="shared" si="11"/>
        <v>0</v>
      </c>
      <c r="T78" s="9">
        <f t="shared" si="12"/>
        <v>752051.08613062301</v>
      </c>
      <c r="U78" s="9">
        <f t="shared" si="13"/>
        <v>-28990.326130622998</v>
      </c>
    </row>
    <row r="79" spans="1:21">
      <c r="A79" t="s">
        <v>42</v>
      </c>
      <c r="B79" s="2">
        <v>45658</v>
      </c>
      <c r="C79" t="s">
        <v>27</v>
      </c>
      <c r="D79" t="s">
        <v>28</v>
      </c>
      <c r="E79">
        <v>60881.01</v>
      </c>
      <c r="F79">
        <v>5410</v>
      </c>
      <c r="G79">
        <v>0.17899999999999999</v>
      </c>
      <c r="H79">
        <v>15</v>
      </c>
      <c r="I79">
        <v>83.9</v>
      </c>
      <c r="J79">
        <v>5.24</v>
      </c>
      <c r="K79">
        <v>0</v>
      </c>
      <c r="L79">
        <v>4.5999999999999996</v>
      </c>
      <c r="M79">
        <v>621369.57999999996</v>
      </c>
      <c r="N79">
        <v>85493.64</v>
      </c>
      <c r="O79">
        <f t="shared" si="7"/>
        <v>5.24</v>
      </c>
      <c r="P79">
        <f t="shared" si="8"/>
        <v>4.5999999999999996</v>
      </c>
      <c r="Q79">
        <f t="shared" si="9"/>
        <v>0</v>
      </c>
      <c r="R79">
        <f t="shared" si="10"/>
        <v>0</v>
      </c>
      <c r="S79">
        <f t="shared" si="11"/>
        <v>1</v>
      </c>
      <c r="T79" s="9">
        <f t="shared" si="12"/>
        <v>648718.46957112185</v>
      </c>
      <c r="U79" s="9">
        <f t="shared" si="13"/>
        <v>-27348.889571121894</v>
      </c>
    </row>
    <row r="80" spans="1:21">
      <c r="A80" t="s">
        <v>45</v>
      </c>
      <c r="B80" s="2">
        <v>45748</v>
      </c>
      <c r="C80" t="s">
        <v>27</v>
      </c>
      <c r="D80" t="s">
        <v>16</v>
      </c>
      <c r="E80">
        <v>9534.65</v>
      </c>
      <c r="F80">
        <v>6057</v>
      </c>
      <c r="G80">
        <v>7.3999999999999996E-2</v>
      </c>
      <c r="H80">
        <v>15</v>
      </c>
      <c r="I80">
        <v>94.1</v>
      </c>
      <c r="J80">
        <v>5.79</v>
      </c>
      <c r="K80">
        <v>0</v>
      </c>
      <c r="L80">
        <v>4.5</v>
      </c>
      <c r="M80">
        <v>607898.12</v>
      </c>
      <c r="N80">
        <v>135404.85</v>
      </c>
      <c r="O80">
        <f t="shared" si="7"/>
        <v>5.79</v>
      </c>
      <c r="P80">
        <f t="shared" si="8"/>
        <v>4.5</v>
      </c>
      <c r="Q80">
        <f t="shared" si="9"/>
        <v>0</v>
      </c>
      <c r="R80">
        <f t="shared" si="10"/>
        <v>0</v>
      </c>
      <c r="S80">
        <f t="shared" si="11"/>
        <v>1</v>
      </c>
      <c r="T80" s="9">
        <f t="shared" si="12"/>
        <v>635205.46843949484</v>
      </c>
      <c r="U80" s="9">
        <f t="shared" si="13"/>
        <v>-27307.348439494846</v>
      </c>
    </row>
    <row r="81" spans="1:21">
      <c r="A81" t="s">
        <v>79</v>
      </c>
      <c r="B81" s="2">
        <v>45717</v>
      </c>
      <c r="C81" t="s">
        <v>15</v>
      </c>
      <c r="D81" t="s">
        <v>18</v>
      </c>
      <c r="E81">
        <v>33173.949999999997</v>
      </c>
      <c r="F81">
        <v>6545</v>
      </c>
      <c r="G81">
        <v>0.16900000000000001</v>
      </c>
      <c r="H81">
        <v>15</v>
      </c>
      <c r="I81">
        <v>84.4</v>
      </c>
      <c r="J81">
        <v>2.48</v>
      </c>
      <c r="K81">
        <v>0</v>
      </c>
      <c r="L81">
        <v>3.9</v>
      </c>
      <c r="M81">
        <v>596969.27</v>
      </c>
      <c r="N81">
        <v>105669.51</v>
      </c>
      <c r="O81">
        <f t="shared" si="7"/>
        <v>2.48</v>
      </c>
      <c r="P81">
        <f t="shared" si="8"/>
        <v>3.9</v>
      </c>
      <c r="Q81">
        <f t="shared" si="9"/>
        <v>0</v>
      </c>
      <c r="R81">
        <f t="shared" si="10"/>
        <v>0</v>
      </c>
      <c r="S81">
        <f t="shared" si="11"/>
        <v>0</v>
      </c>
      <c r="T81" s="9">
        <f t="shared" si="12"/>
        <v>624066.19606638467</v>
      </c>
      <c r="U81" s="9">
        <f t="shared" si="13"/>
        <v>-27096.926066384651</v>
      </c>
    </row>
    <row r="82" spans="1:21">
      <c r="A82" t="s">
        <v>53</v>
      </c>
      <c r="B82" s="2">
        <v>45689</v>
      </c>
      <c r="C82" t="s">
        <v>24</v>
      </c>
      <c r="D82" t="s">
        <v>18</v>
      </c>
      <c r="E82">
        <v>44747</v>
      </c>
      <c r="F82">
        <v>11076</v>
      </c>
      <c r="G82">
        <v>0.17599999999999999</v>
      </c>
      <c r="H82">
        <v>27</v>
      </c>
      <c r="I82">
        <v>98.3</v>
      </c>
      <c r="J82">
        <v>0.54</v>
      </c>
      <c r="K82">
        <v>0</v>
      </c>
      <c r="L82">
        <v>4.4000000000000004</v>
      </c>
      <c r="M82">
        <v>842439.67</v>
      </c>
      <c r="N82">
        <v>169983.63</v>
      </c>
      <c r="O82">
        <f t="shared" si="7"/>
        <v>0.54</v>
      </c>
      <c r="P82">
        <f t="shared" si="8"/>
        <v>4.4000000000000004</v>
      </c>
      <c r="Q82">
        <f t="shared" si="9"/>
        <v>0</v>
      </c>
      <c r="R82">
        <f t="shared" si="10"/>
        <v>1</v>
      </c>
      <c r="S82">
        <f t="shared" si="11"/>
        <v>0</v>
      </c>
      <c r="T82" s="9">
        <f t="shared" si="12"/>
        <v>869388.83252966194</v>
      </c>
      <c r="U82" s="9">
        <f t="shared" si="13"/>
        <v>-26949.162529661902</v>
      </c>
    </row>
    <row r="83" spans="1:21">
      <c r="A83" t="s">
        <v>83</v>
      </c>
      <c r="B83" s="2">
        <v>45717</v>
      </c>
      <c r="C83" t="s">
        <v>15</v>
      </c>
      <c r="D83" t="s">
        <v>18</v>
      </c>
      <c r="E83">
        <v>57390.04</v>
      </c>
      <c r="F83">
        <v>7374</v>
      </c>
      <c r="G83">
        <v>0.21</v>
      </c>
      <c r="H83">
        <v>21</v>
      </c>
      <c r="I83">
        <v>91.8</v>
      </c>
      <c r="J83">
        <v>0.2</v>
      </c>
      <c r="K83">
        <v>0</v>
      </c>
      <c r="L83">
        <v>3.1</v>
      </c>
      <c r="M83">
        <v>679230.86</v>
      </c>
      <c r="N83">
        <v>106927.58</v>
      </c>
      <c r="O83">
        <f t="shared" si="7"/>
        <v>0.2</v>
      </c>
      <c r="P83">
        <f t="shared" si="8"/>
        <v>3.1</v>
      </c>
      <c r="Q83">
        <f t="shared" si="9"/>
        <v>0</v>
      </c>
      <c r="R83">
        <f t="shared" si="10"/>
        <v>0</v>
      </c>
      <c r="S83">
        <f t="shared" si="11"/>
        <v>0</v>
      </c>
      <c r="T83" s="9">
        <f t="shared" si="12"/>
        <v>705798.0934872434</v>
      </c>
      <c r="U83" s="9">
        <f t="shared" si="13"/>
        <v>-26567.233487243415</v>
      </c>
    </row>
    <row r="84" spans="1:21">
      <c r="A84" t="s">
        <v>36</v>
      </c>
      <c r="B84" s="2">
        <v>45717</v>
      </c>
      <c r="C84" t="s">
        <v>15</v>
      </c>
      <c r="D84" t="s">
        <v>21</v>
      </c>
      <c r="E84">
        <v>118910.48</v>
      </c>
      <c r="F84">
        <v>4022</v>
      </c>
      <c r="G84">
        <v>0.13700000000000001</v>
      </c>
      <c r="H84">
        <v>11</v>
      </c>
      <c r="I84">
        <v>87.1</v>
      </c>
      <c r="J84">
        <v>0.2</v>
      </c>
      <c r="K84">
        <v>0</v>
      </c>
      <c r="L84">
        <v>3.1</v>
      </c>
      <c r="M84">
        <v>617291.15</v>
      </c>
      <c r="N84">
        <v>117782</v>
      </c>
      <c r="O84">
        <f t="shared" si="7"/>
        <v>0.2</v>
      </c>
      <c r="P84">
        <f t="shared" si="8"/>
        <v>3.1</v>
      </c>
      <c r="Q84">
        <f t="shared" si="9"/>
        <v>0</v>
      </c>
      <c r="R84">
        <f t="shared" si="10"/>
        <v>0</v>
      </c>
      <c r="S84">
        <f t="shared" si="11"/>
        <v>0</v>
      </c>
      <c r="T84" s="9">
        <f t="shared" si="12"/>
        <v>642811.60904258129</v>
      </c>
      <c r="U84" s="9">
        <f t="shared" si="13"/>
        <v>-25520.459042581264</v>
      </c>
    </row>
    <row r="85" spans="1:21">
      <c r="A85" t="s">
        <v>77</v>
      </c>
      <c r="B85" s="2">
        <v>45748</v>
      </c>
      <c r="C85" t="s">
        <v>15</v>
      </c>
      <c r="D85" t="s">
        <v>18</v>
      </c>
      <c r="E85">
        <v>73540.990000000005</v>
      </c>
      <c r="F85">
        <v>8773</v>
      </c>
      <c r="G85">
        <v>3.5000000000000003E-2</v>
      </c>
      <c r="H85">
        <v>21</v>
      </c>
      <c r="I85">
        <v>84.4</v>
      </c>
      <c r="J85">
        <v>6.68</v>
      </c>
      <c r="K85">
        <v>0</v>
      </c>
      <c r="L85">
        <v>3.6</v>
      </c>
      <c r="M85">
        <v>723531.4</v>
      </c>
      <c r="N85">
        <v>108794.85</v>
      </c>
      <c r="O85">
        <f t="shared" si="7"/>
        <v>6.68</v>
      </c>
      <c r="P85">
        <f t="shared" si="8"/>
        <v>3.6</v>
      </c>
      <c r="Q85">
        <f t="shared" si="9"/>
        <v>0</v>
      </c>
      <c r="R85">
        <f t="shared" si="10"/>
        <v>0</v>
      </c>
      <c r="S85">
        <f t="shared" si="11"/>
        <v>0</v>
      </c>
      <c r="T85" s="9">
        <f t="shared" si="12"/>
        <v>748785.85587283026</v>
      </c>
      <c r="U85" s="9">
        <f t="shared" si="13"/>
        <v>-25254.455872830236</v>
      </c>
    </row>
    <row r="86" spans="1:21">
      <c r="A86" t="s">
        <v>62</v>
      </c>
      <c r="B86" s="2">
        <v>45748</v>
      </c>
      <c r="C86" t="s">
        <v>24</v>
      </c>
      <c r="D86" t="s">
        <v>18</v>
      </c>
      <c r="E86">
        <v>66870.62</v>
      </c>
      <c r="F86">
        <v>6055</v>
      </c>
      <c r="G86">
        <v>7.4999999999999997E-2</v>
      </c>
      <c r="H86">
        <v>19</v>
      </c>
      <c r="I86">
        <v>93.8</v>
      </c>
      <c r="J86">
        <v>0.54</v>
      </c>
      <c r="K86">
        <v>0</v>
      </c>
      <c r="L86">
        <v>4.3</v>
      </c>
      <c r="M86">
        <v>692008.64</v>
      </c>
      <c r="N86">
        <v>116337.87</v>
      </c>
      <c r="O86">
        <f t="shared" si="7"/>
        <v>0.54</v>
      </c>
      <c r="P86">
        <f t="shared" si="8"/>
        <v>4.3</v>
      </c>
      <c r="Q86">
        <f t="shared" si="9"/>
        <v>0</v>
      </c>
      <c r="R86">
        <f t="shared" si="10"/>
        <v>1</v>
      </c>
      <c r="S86">
        <f t="shared" si="11"/>
        <v>0</v>
      </c>
      <c r="T86" s="9">
        <f t="shared" si="12"/>
        <v>716014.34683958325</v>
      </c>
      <c r="U86" s="9">
        <f t="shared" si="13"/>
        <v>-24005.706839583232</v>
      </c>
    </row>
    <row r="87" spans="1:21">
      <c r="A87" t="s">
        <v>67</v>
      </c>
      <c r="B87" s="2">
        <v>45717</v>
      </c>
      <c r="C87" t="s">
        <v>27</v>
      </c>
      <c r="D87" t="s">
        <v>16</v>
      </c>
      <c r="E87">
        <v>63010.23</v>
      </c>
      <c r="F87">
        <v>9812</v>
      </c>
      <c r="G87">
        <v>0.113</v>
      </c>
      <c r="H87">
        <v>24</v>
      </c>
      <c r="I87">
        <v>76.8</v>
      </c>
      <c r="J87">
        <v>1.02</v>
      </c>
      <c r="K87">
        <v>1</v>
      </c>
      <c r="L87">
        <v>3.8</v>
      </c>
      <c r="M87">
        <v>761077.08</v>
      </c>
      <c r="N87">
        <v>113605.93</v>
      </c>
      <c r="O87">
        <f t="shared" si="7"/>
        <v>1.02</v>
      </c>
      <c r="P87">
        <f t="shared" si="8"/>
        <v>3.8</v>
      </c>
      <c r="Q87">
        <f t="shared" si="9"/>
        <v>0</v>
      </c>
      <c r="R87">
        <f t="shared" si="10"/>
        <v>0</v>
      </c>
      <c r="S87">
        <f t="shared" si="11"/>
        <v>1</v>
      </c>
      <c r="T87" s="9">
        <f t="shared" si="12"/>
        <v>785074.34515398485</v>
      </c>
      <c r="U87" s="9">
        <f t="shared" si="13"/>
        <v>-23997.265153984888</v>
      </c>
    </row>
    <row r="88" spans="1:21">
      <c r="A88" t="s">
        <v>65</v>
      </c>
      <c r="B88" s="2">
        <v>45689</v>
      </c>
      <c r="C88" t="s">
        <v>15</v>
      </c>
      <c r="D88" t="s">
        <v>16</v>
      </c>
      <c r="E88">
        <v>43645.98</v>
      </c>
      <c r="F88">
        <v>9480</v>
      </c>
      <c r="G88">
        <v>0.109</v>
      </c>
      <c r="H88">
        <v>22</v>
      </c>
      <c r="I88">
        <v>89</v>
      </c>
      <c r="J88">
        <v>2.11</v>
      </c>
      <c r="K88">
        <v>0</v>
      </c>
      <c r="L88">
        <v>3.1</v>
      </c>
      <c r="M88">
        <v>721364.11</v>
      </c>
      <c r="N88">
        <v>147272.81</v>
      </c>
      <c r="O88">
        <f t="shared" si="7"/>
        <v>2.11</v>
      </c>
      <c r="P88">
        <f t="shared" si="8"/>
        <v>3.1</v>
      </c>
      <c r="Q88">
        <f t="shared" si="9"/>
        <v>0</v>
      </c>
      <c r="R88">
        <f t="shared" si="10"/>
        <v>0</v>
      </c>
      <c r="S88">
        <f t="shared" si="11"/>
        <v>0</v>
      </c>
      <c r="T88" s="9">
        <f t="shared" si="12"/>
        <v>744489.2772984443</v>
      </c>
      <c r="U88" s="9">
        <f t="shared" si="13"/>
        <v>-23125.167298444314</v>
      </c>
    </row>
    <row r="89" spans="1:21">
      <c r="A89" t="s">
        <v>51</v>
      </c>
      <c r="B89" s="2">
        <v>45658</v>
      </c>
      <c r="C89" t="s">
        <v>27</v>
      </c>
      <c r="D89" t="s">
        <v>16</v>
      </c>
      <c r="E89">
        <v>43685.14</v>
      </c>
      <c r="F89">
        <v>7821</v>
      </c>
      <c r="G89">
        <v>0.19</v>
      </c>
      <c r="H89">
        <v>17</v>
      </c>
      <c r="I89">
        <v>91</v>
      </c>
      <c r="J89">
        <v>2.4900000000000002</v>
      </c>
      <c r="K89">
        <v>1</v>
      </c>
      <c r="L89">
        <v>4.7</v>
      </c>
      <c r="M89">
        <v>714942.43</v>
      </c>
      <c r="N89">
        <v>94697.71</v>
      </c>
      <c r="O89">
        <f t="shared" si="7"/>
        <v>2.4900000000000002</v>
      </c>
      <c r="P89">
        <f t="shared" si="8"/>
        <v>4.7</v>
      </c>
      <c r="Q89">
        <f t="shared" si="9"/>
        <v>0</v>
      </c>
      <c r="R89">
        <f t="shared" si="10"/>
        <v>0</v>
      </c>
      <c r="S89">
        <f t="shared" si="11"/>
        <v>1</v>
      </c>
      <c r="T89" s="9">
        <f t="shared" si="12"/>
        <v>737767.68097761204</v>
      </c>
      <c r="U89" s="9">
        <f t="shared" si="13"/>
        <v>-22825.250977611984</v>
      </c>
    </row>
    <row r="90" spans="1:21">
      <c r="A90" t="s">
        <v>23</v>
      </c>
      <c r="B90" s="2">
        <v>45658</v>
      </c>
      <c r="C90" t="s">
        <v>24</v>
      </c>
      <c r="D90" t="s">
        <v>16</v>
      </c>
      <c r="E90">
        <v>48804.22</v>
      </c>
      <c r="F90">
        <v>7057</v>
      </c>
      <c r="G90">
        <v>5.0000000000000001E-3</v>
      </c>
      <c r="H90">
        <v>15</v>
      </c>
      <c r="I90">
        <v>87.7</v>
      </c>
      <c r="J90">
        <v>1.22</v>
      </c>
      <c r="K90">
        <v>0</v>
      </c>
      <c r="L90">
        <v>3.7</v>
      </c>
      <c r="M90">
        <v>666152.52</v>
      </c>
      <c r="N90">
        <v>107490.58</v>
      </c>
      <c r="O90">
        <f t="shared" si="7"/>
        <v>1.22</v>
      </c>
      <c r="P90">
        <f t="shared" si="8"/>
        <v>3.7</v>
      </c>
      <c r="Q90">
        <f t="shared" si="9"/>
        <v>0</v>
      </c>
      <c r="R90">
        <f t="shared" si="10"/>
        <v>1</v>
      </c>
      <c r="S90">
        <f t="shared" si="11"/>
        <v>0</v>
      </c>
      <c r="T90" s="9">
        <f t="shared" si="12"/>
        <v>688868.77078511287</v>
      </c>
      <c r="U90" s="9">
        <f t="shared" si="13"/>
        <v>-22716.250785112847</v>
      </c>
    </row>
    <row r="91" spans="1:21">
      <c r="A91" t="s">
        <v>74</v>
      </c>
      <c r="B91" s="2">
        <v>45717</v>
      </c>
      <c r="C91" t="s">
        <v>15</v>
      </c>
      <c r="D91" t="s">
        <v>18</v>
      </c>
      <c r="E91">
        <v>107970.19</v>
      </c>
      <c r="F91">
        <v>12870</v>
      </c>
      <c r="G91">
        <v>2.9000000000000001E-2</v>
      </c>
      <c r="H91">
        <v>31</v>
      </c>
      <c r="I91">
        <v>91.7</v>
      </c>
      <c r="J91">
        <v>3.82</v>
      </c>
      <c r="K91">
        <v>1</v>
      </c>
      <c r="L91">
        <v>3.7</v>
      </c>
      <c r="M91">
        <v>946833.54</v>
      </c>
      <c r="N91">
        <v>184540.31</v>
      </c>
      <c r="O91">
        <f t="shared" si="7"/>
        <v>3.82</v>
      </c>
      <c r="P91">
        <f t="shared" si="8"/>
        <v>3.7</v>
      </c>
      <c r="Q91">
        <f t="shared" si="9"/>
        <v>0</v>
      </c>
      <c r="R91">
        <f t="shared" si="10"/>
        <v>0</v>
      </c>
      <c r="S91">
        <f t="shared" si="11"/>
        <v>0</v>
      </c>
      <c r="T91" s="9">
        <f t="shared" si="12"/>
        <v>969198.01249248139</v>
      </c>
      <c r="U91" s="9">
        <f t="shared" si="13"/>
        <v>-22364.472492481349</v>
      </c>
    </row>
    <row r="92" spans="1:21">
      <c r="A92" t="s">
        <v>101</v>
      </c>
      <c r="B92" s="2">
        <v>45717</v>
      </c>
      <c r="C92" t="s">
        <v>15</v>
      </c>
      <c r="D92" t="s">
        <v>16</v>
      </c>
      <c r="E92">
        <v>81902.58</v>
      </c>
      <c r="F92">
        <v>7775</v>
      </c>
      <c r="G92">
        <v>0.215</v>
      </c>
      <c r="H92">
        <v>20</v>
      </c>
      <c r="I92">
        <v>85.2</v>
      </c>
      <c r="J92">
        <v>4.8899999999999997</v>
      </c>
      <c r="K92">
        <v>1</v>
      </c>
      <c r="L92">
        <v>4.2</v>
      </c>
      <c r="M92">
        <v>726776.22</v>
      </c>
      <c r="N92">
        <v>90804.49</v>
      </c>
      <c r="O92">
        <f t="shared" si="7"/>
        <v>4.8899999999999997</v>
      </c>
      <c r="P92">
        <f t="shared" si="8"/>
        <v>4.2</v>
      </c>
      <c r="Q92">
        <f t="shared" si="9"/>
        <v>0</v>
      </c>
      <c r="R92">
        <f t="shared" si="10"/>
        <v>0</v>
      </c>
      <c r="S92">
        <f t="shared" si="11"/>
        <v>0</v>
      </c>
      <c r="T92" s="9">
        <f t="shared" si="12"/>
        <v>748862.35147111188</v>
      </c>
      <c r="U92" s="9">
        <f t="shared" si="13"/>
        <v>-22086.131471111905</v>
      </c>
    </row>
    <row r="93" spans="1:21">
      <c r="A93" t="s">
        <v>55</v>
      </c>
      <c r="B93" s="2">
        <v>45748</v>
      </c>
      <c r="C93" t="s">
        <v>20</v>
      </c>
      <c r="D93" t="s">
        <v>18</v>
      </c>
      <c r="E93">
        <v>70366.759999999995</v>
      </c>
      <c r="F93">
        <v>1963</v>
      </c>
      <c r="G93">
        <v>0.182</v>
      </c>
      <c r="H93">
        <v>8</v>
      </c>
      <c r="I93">
        <v>89.8</v>
      </c>
      <c r="J93">
        <v>3.2</v>
      </c>
      <c r="K93">
        <v>0</v>
      </c>
      <c r="L93">
        <v>4.5999999999999996</v>
      </c>
      <c r="M93">
        <v>529075.94999999995</v>
      </c>
      <c r="N93">
        <v>95978.83</v>
      </c>
      <c r="O93">
        <f t="shared" si="7"/>
        <v>3.2</v>
      </c>
      <c r="P93">
        <f t="shared" si="8"/>
        <v>4.5999999999999996</v>
      </c>
      <c r="Q93">
        <f t="shared" si="9"/>
        <v>1</v>
      </c>
      <c r="R93">
        <f t="shared" si="10"/>
        <v>0</v>
      </c>
      <c r="S93">
        <f t="shared" si="11"/>
        <v>0</v>
      </c>
      <c r="T93" s="9">
        <f t="shared" si="12"/>
        <v>550881.88734878134</v>
      </c>
      <c r="U93" s="9">
        <f t="shared" si="13"/>
        <v>-21805.937348781386</v>
      </c>
    </row>
    <row r="94" spans="1:21">
      <c r="A94" t="s">
        <v>41</v>
      </c>
      <c r="B94" s="2">
        <v>45658</v>
      </c>
      <c r="C94" t="s">
        <v>24</v>
      </c>
      <c r="D94" t="s">
        <v>18</v>
      </c>
      <c r="E94">
        <v>56973.18</v>
      </c>
      <c r="F94">
        <v>6662</v>
      </c>
      <c r="G94">
        <v>0.1</v>
      </c>
      <c r="H94">
        <v>15</v>
      </c>
      <c r="I94">
        <v>77.7</v>
      </c>
      <c r="J94">
        <v>7.52</v>
      </c>
      <c r="K94">
        <v>1</v>
      </c>
      <c r="L94">
        <v>3.2</v>
      </c>
      <c r="M94">
        <v>643657.47</v>
      </c>
      <c r="N94">
        <v>87022.45</v>
      </c>
      <c r="O94">
        <f t="shared" si="7"/>
        <v>7.52</v>
      </c>
      <c r="P94">
        <f t="shared" si="8"/>
        <v>3.2</v>
      </c>
      <c r="Q94">
        <f t="shared" si="9"/>
        <v>0</v>
      </c>
      <c r="R94">
        <f t="shared" si="10"/>
        <v>1</v>
      </c>
      <c r="S94">
        <f t="shared" si="11"/>
        <v>0</v>
      </c>
      <c r="T94" s="9">
        <f t="shared" si="12"/>
        <v>665434.99949682341</v>
      </c>
      <c r="U94" s="9">
        <f t="shared" si="13"/>
        <v>-21777.529496823438</v>
      </c>
    </row>
    <row r="95" spans="1:21">
      <c r="A95" t="s">
        <v>51</v>
      </c>
      <c r="B95" s="2">
        <v>45748</v>
      </c>
      <c r="C95" t="s">
        <v>27</v>
      </c>
      <c r="D95" t="s">
        <v>16</v>
      </c>
      <c r="E95">
        <v>54968.98</v>
      </c>
      <c r="F95">
        <v>7816</v>
      </c>
      <c r="G95">
        <v>0.23200000000000001</v>
      </c>
      <c r="H95">
        <v>19</v>
      </c>
      <c r="I95">
        <v>95.7</v>
      </c>
      <c r="J95">
        <v>7.85</v>
      </c>
      <c r="K95">
        <v>0</v>
      </c>
      <c r="L95">
        <v>4.7</v>
      </c>
      <c r="M95">
        <v>735480.19</v>
      </c>
      <c r="N95">
        <v>88342.11</v>
      </c>
      <c r="O95">
        <f t="shared" si="7"/>
        <v>7.85</v>
      </c>
      <c r="P95">
        <f t="shared" si="8"/>
        <v>4.7</v>
      </c>
      <c r="Q95">
        <f t="shared" si="9"/>
        <v>0</v>
      </c>
      <c r="R95">
        <f t="shared" si="10"/>
        <v>0</v>
      </c>
      <c r="S95">
        <f t="shared" si="11"/>
        <v>1</v>
      </c>
      <c r="T95" s="9">
        <f t="shared" si="12"/>
        <v>757190.37559364224</v>
      </c>
      <c r="U95" s="9">
        <f t="shared" si="13"/>
        <v>-21710.185593642294</v>
      </c>
    </row>
    <row r="96" spans="1:21">
      <c r="A96" t="s">
        <v>99</v>
      </c>
      <c r="B96" s="2">
        <v>45717</v>
      </c>
      <c r="C96" t="s">
        <v>24</v>
      </c>
      <c r="D96" t="s">
        <v>18</v>
      </c>
      <c r="E96">
        <v>54322.94</v>
      </c>
      <c r="F96">
        <v>5434</v>
      </c>
      <c r="G96">
        <v>0.2</v>
      </c>
      <c r="H96">
        <v>13</v>
      </c>
      <c r="I96">
        <v>85.7</v>
      </c>
      <c r="J96">
        <v>10.6</v>
      </c>
      <c r="K96">
        <v>0</v>
      </c>
      <c r="L96">
        <v>4.2</v>
      </c>
      <c r="M96">
        <v>621677.30000000005</v>
      </c>
      <c r="N96">
        <v>105192.52</v>
      </c>
      <c r="O96">
        <f t="shared" si="7"/>
        <v>10.6</v>
      </c>
      <c r="P96">
        <f t="shared" si="8"/>
        <v>4.2</v>
      </c>
      <c r="Q96">
        <f t="shared" si="9"/>
        <v>0</v>
      </c>
      <c r="R96">
        <f t="shared" si="10"/>
        <v>1</v>
      </c>
      <c r="S96">
        <f t="shared" si="11"/>
        <v>0</v>
      </c>
      <c r="T96" s="9">
        <f t="shared" si="12"/>
        <v>642777.6928484228</v>
      </c>
      <c r="U96" s="9">
        <f t="shared" si="13"/>
        <v>-21100.392848422751</v>
      </c>
    </row>
    <row r="97" spans="1:21">
      <c r="A97" t="s">
        <v>63</v>
      </c>
      <c r="B97" s="2">
        <v>45689</v>
      </c>
      <c r="C97" t="s">
        <v>20</v>
      </c>
      <c r="D97" t="s">
        <v>28</v>
      </c>
      <c r="E97">
        <v>35303.300000000003</v>
      </c>
      <c r="F97">
        <v>8789</v>
      </c>
      <c r="G97">
        <v>0.123</v>
      </c>
      <c r="H97">
        <v>22</v>
      </c>
      <c r="I97">
        <v>86.1</v>
      </c>
      <c r="J97">
        <v>9.43</v>
      </c>
      <c r="K97">
        <v>0</v>
      </c>
      <c r="L97">
        <v>4.2</v>
      </c>
      <c r="M97">
        <v>706285.52</v>
      </c>
      <c r="N97">
        <v>138014.72</v>
      </c>
      <c r="O97">
        <f t="shared" si="7"/>
        <v>9.43</v>
      </c>
      <c r="P97">
        <f t="shared" si="8"/>
        <v>4.2</v>
      </c>
      <c r="Q97">
        <f t="shared" si="9"/>
        <v>1</v>
      </c>
      <c r="R97">
        <f t="shared" si="10"/>
        <v>0</v>
      </c>
      <c r="S97">
        <f t="shared" si="11"/>
        <v>0</v>
      </c>
      <c r="T97" s="9">
        <f t="shared" si="12"/>
        <v>727003.54792441381</v>
      </c>
      <c r="U97" s="9">
        <f t="shared" si="13"/>
        <v>-20718.027924413793</v>
      </c>
    </row>
    <row r="98" spans="1:21">
      <c r="A98" t="s">
        <v>43</v>
      </c>
      <c r="B98" s="2">
        <v>45748</v>
      </c>
      <c r="C98" t="s">
        <v>27</v>
      </c>
      <c r="D98" t="s">
        <v>18</v>
      </c>
      <c r="E98">
        <v>18996.32</v>
      </c>
      <c r="F98">
        <v>1260</v>
      </c>
      <c r="G98">
        <v>0.14499999999999999</v>
      </c>
      <c r="H98">
        <v>9</v>
      </c>
      <c r="I98">
        <v>86.4</v>
      </c>
      <c r="J98">
        <v>4.3099999999999996</v>
      </c>
      <c r="K98">
        <v>0</v>
      </c>
      <c r="L98">
        <v>4.5999999999999996</v>
      </c>
      <c r="M98">
        <v>450711.92</v>
      </c>
      <c r="N98">
        <v>90043.76</v>
      </c>
      <c r="O98">
        <f t="shared" si="7"/>
        <v>4.3099999999999996</v>
      </c>
      <c r="P98">
        <f t="shared" si="8"/>
        <v>4.5999999999999996</v>
      </c>
      <c r="Q98">
        <f t="shared" si="9"/>
        <v>0</v>
      </c>
      <c r="R98">
        <f t="shared" si="10"/>
        <v>0</v>
      </c>
      <c r="S98">
        <f t="shared" si="11"/>
        <v>1</v>
      </c>
      <c r="T98" s="9">
        <f t="shared" si="12"/>
        <v>471003.35239604354</v>
      </c>
      <c r="U98" s="9">
        <f t="shared" si="13"/>
        <v>-20291.432396043558</v>
      </c>
    </row>
    <row r="99" spans="1:21">
      <c r="A99" t="s">
        <v>25</v>
      </c>
      <c r="B99" s="2">
        <v>45689</v>
      </c>
      <c r="C99" t="s">
        <v>20</v>
      </c>
      <c r="D99" t="s">
        <v>16</v>
      </c>
      <c r="E99">
        <v>33518.879999999997</v>
      </c>
      <c r="F99">
        <v>2121</v>
      </c>
      <c r="G99">
        <v>0.17599999999999999</v>
      </c>
      <c r="H99">
        <v>8</v>
      </c>
      <c r="I99">
        <v>88.5</v>
      </c>
      <c r="J99">
        <v>0.2</v>
      </c>
      <c r="K99">
        <v>0</v>
      </c>
      <c r="L99">
        <v>5</v>
      </c>
      <c r="M99">
        <v>491905.13</v>
      </c>
      <c r="N99">
        <v>79212.259999999995</v>
      </c>
      <c r="O99">
        <f t="shared" si="7"/>
        <v>0.2</v>
      </c>
      <c r="P99">
        <f t="shared" si="8"/>
        <v>5</v>
      </c>
      <c r="Q99">
        <f t="shared" si="9"/>
        <v>1</v>
      </c>
      <c r="R99">
        <f t="shared" si="10"/>
        <v>0</v>
      </c>
      <c r="S99">
        <f t="shared" si="11"/>
        <v>0</v>
      </c>
      <c r="T99" s="9">
        <f t="shared" si="12"/>
        <v>511848.13630408363</v>
      </c>
      <c r="U99" s="9">
        <f t="shared" si="13"/>
        <v>-19943.006304083625</v>
      </c>
    </row>
    <row r="100" spans="1:21">
      <c r="A100" t="s">
        <v>99</v>
      </c>
      <c r="B100" s="2">
        <v>45658</v>
      </c>
      <c r="C100" t="s">
        <v>24</v>
      </c>
      <c r="D100" t="s">
        <v>18</v>
      </c>
      <c r="E100">
        <v>48465.599999999999</v>
      </c>
      <c r="F100">
        <v>5759</v>
      </c>
      <c r="G100">
        <v>0.154</v>
      </c>
      <c r="H100">
        <v>13</v>
      </c>
      <c r="I100">
        <v>87.5</v>
      </c>
      <c r="J100">
        <v>4.1399999999999997</v>
      </c>
      <c r="K100">
        <v>0</v>
      </c>
      <c r="L100">
        <v>4</v>
      </c>
      <c r="M100">
        <v>628538.30000000005</v>
      </c>
      <c r="N100">
        <v>112509.15</v>
      </c>
      <c r="O100">
        <f t="shared" si="7"/>
        <v>4.1399999999999997</v>
      </c>
      <c r="P100">
        <f t="shared" si="8"/>
        <v>4</v>
      </c>
      <c r="Q100">
        <f t="shared" si="9"/>
        <v>0</v>
      </c>
      <c r="R100">
        <f t="shared" si="10"/>
        <v>1</v>
      </c>
      <c r="S100">
        <f t="shared" si="11"/>
        <v>0</v>
      </c>
      <c r="T100" s="9">
        <f t="shared" si="12"/>
        <v>648398.24005922163</v>
      </c>
      <c r="U100" s="9">
        <f t="shared" si="13"/>
        <v>-19859.940059221582</v>
      </c>
    </row>
    <row r="101" spans="1:21">
      <c r="A101" t="s">
        <v>55</v>
      </c>
      <c r="B101" s="2">
        <v>45717</v>
      </c>
      <c r="C101" t="s">
        <v>20</v>
      </c>
      <c r="D101" t="s">
        <v>18</v>
      </c>
      <c r="E101">
        <v>52285.45</v>
      </c>
      <c r="F101">
        <v>3618</v>
      </c>
      <c r="G101">
        <v>8.5999999999999993E-2</v>
      </c>
      <c r="H101">
        <v>11</v>
      </c>
      <c r="I101">
        <v>95.6</v>
      </c>
      <c r="J101">
        <v>5.17</v>
      </c>
      <c r="K101">
        <v>1</v>
      </c>
      <c r="L101">
        <v>4.4000000000000004</v>
      </c>
      <c r="M101">
        <v>593247.25</v>
      </c>
      <c r="N101">
        <v>81240.289999999994</v>
      </c>
      <c r="O101">
        <f t="shared" si="7"/>
        <v>5.17</v>
      </c>
      <c r="P101">
        <f t="shared" si="8"/>
        <v>4.4000000000000004</v>
      </c>
      <c r="Q101">
        <f t="shared" si="9"/>
        <v>1</v>
      </c>
      <c r="R101">
        <f t="shared" si="10"/>
        <v>0</v>
      </c>
      <c r="S101">
        <f t="shared" si="11"/>
        <v>0</v>
      </c>
      <c r="T101" s="9">
        <f t="shared" si="12"/>
        <v>612700.22746148356</v>
      </c>
      <c r="U101" s="9">
        <f t="shared" si="13"/>
        <v>-19452.977461483562</v>
      </c>
    </row>
    <row r="102" spans="1:21">
      <c r="A102" t="s">
        <v>75</v>
      </c>
      <c r="B102" s="2">
        <v>45717</v>
      </c>
      <c r="C102" t="s">
        <v>27</v>
      </c>
      <c r="D102" t="s">
        <v>16</v>
      </c>
      <c r="E102">
        <v>35296.54</v>
      </c>
      <c r="F102">
        <v>9644</v>
      </c>
      <c r="G102">
        <v>0</v>
      </c>
      <c r="H102">
        <v>22</v>
      </c>
      <c r="I102">
        <v>88</v>
      </c>
      <c r="J102">
        <v>2.81</v>
      </c>
      <c r="K102">
        <v>0</v>
      </c>
      <c r="L102">
        <v>4.7</v>
      </c>
      <c r="M102">
        <v>752321.72</v>
      </c>
      <c r="N102">
        <v>137788.51</v>
      </c>
      <c r="O102">
        <f t="shared" si="7"/>
        <v>2.81</v>
      </c>
      <c r="P102">
        <f t="shared" si="8"/>
        <v>4.7</v>
      </c>
      <c r="Q102">
        <f t="shared" si="9"/>
        <v>0</v>
      </c>
      <c r="R102">
        <f t="shared" si="10"/>
        <v>0</v>
      </c>
      <c r="S102">
        <f t="shared" si="11"/>
        <v>1</v>
      </c>
      <c r="T102" s="9">
        <f t="shared" si="12"/>
        <v>771512.42678375251</v>
      </c>
      <c r="U102" s="9">
        <f t="shared" si="13"/>
        <v>-19190.706783752539</v>
      </c>
    </row>
    <row r="103" spans="1:21">
      <c r="A103" t="s">
        <v>95</v>
      </c>
      <c r="B103" s="2">
        <v>45717</v>
      </c>
      <c r="C103" t="s">
        <v>27</v>
      </c>
      <c r="D103" t="s">
        <v>18</v>
      </c>
      <c r="E103">
        <v>59825.51</v>
      </c>
      <c r="F103">
        <v>1231</v>
      </c>
      <c r="G103">
        <v>0.214</v>
      </c>
      <c r="H103">
        <v>10</v>
      </c>
      <c r="I103">
        <v>84.8</v>
      </c>
      <c r="J103">
        <v>8.9600000000000009</v>
      </c>
      <c r="K103">
        <v>0</v>
      </c>
      <c r="L103">
        <v>4.7</v>
      </c>
      <c r="M103">
        <v>498970.32</v>
      </c>
      <c r="N103">
        <v>69656.7</v>
      </c>
      <c r="O103">
        <f t="shared" si="7"/>
        <v>8.9600000000000009</v>
      </c>
      <c r="P103">
        <f t="shared" si="8"/>
        <v>4.7</v>
      </c>
      <c r="Q103">
        <f t="shared" si="9"/>
        <v>0</v>
      </c>
      <c r="R103">
        <f t="shared" si="10"/>
        <v>0</v>
      </c>
      <c r="S103">
        <f t="shared" si="11"/>
        <v>1</v>
      </c>
      <c r="T103" s="9">
        <f t="shared" si="12"/>
        <v>517727.36012111889</v>
      </c>
      <c r="U103" s="9">
        <f t="shared" si="13"/>
        <v>-18757.040121118887</v>
      </c>
    </row>
    <row r="104" spans="1:21">
      <c r="A104" t="s">
        <v>93</v>
      </c>
      <c r="B104" s="2">
        <v>45717</v>
      </c>
      <c r="C104" t="s">
        <v>27</v>
      </c>
      <c r="D104" t="s">
        <v>16</v>
      </c>
      <c r="E104">
        <v>55371.97</v>
      </c>
      <c r="F104">
        <v>4162</v>
      </c>
      <c r="G104">
        <v>0.183</v>
      </c>
      <c r="H104">
        <v>11</v>
      </c>
      <c r="I104">
        <v>92</v>
      </c>
      <c r="J104">
        <v>0.2</v>
      </c>
      <c r="K104">
        <v>1</v>
      </c>
      <c r="L104">
        <v>4.2</v>
      </c>
      <c r="M104">
        <v>609949</v>
      </c>
      <c r="N104">
        <v>126789.25</v>
      </c>
      <c r="O104">
        <f t="shared" si="7"/>
        <v>0.2</v>
      </c>
      <c r="P104">
        <f t="shared" si="8"/>
        <v>4.2</v>
      </c>
      <c r="Q104">
        <f t="shared" si="9"/>
        <v>0</v>
      </c>
      <c r="R104">
        <f t="shared" si="10"/>
        <v>0</v>
      </c>
      <c r="S104">
        <f t="shared" si="11"/>
        <v>1</v>
      </c>
      <c r="T104" s="9">
        <f t="shared" si="12"/>
        <v>628447.23938626447</v>
      </c>
      <c r="U104" s="9">
        <f t="shared" si="13"/>
        <v>-18498.239386264468</v>
      </c>
    </row>
    <row r="105" spans="1:21">
      <c r="A105" t="s">
        <v>26</v>
      </c>
      <c r="B105" s="2">
        <v>45658</v>
      </c>
      <c r="C105" t="s">
        <v>27</v>
      </c>
      <c r="D105" t="s">
        <v>28</v>
      </c>
      <c r="E105">
        <v>57696.69</v>
      </c>
      <c r="F105">
        <v>10218</v>
      </c>
      <c r="G105">
        <v>0.121</v>
      </c>
      <c r="H105">
        <v>25</v>
      </c>
      <c r="I105">
        <v>94.8</v>
      </c>
      <c r="J105">
        <v>2.99</v>
      </c>
      <c r="K105">
        <v>0</v>
      </c>
      <c r="L105">
        <v>3.5</v>
      </c>
      <c r="M105">
        <v>811771.14</v>
      </c>
      <c r="N105">
        <v>148756.24</v>
      </c>
      <c r="O105">
        <f t="shared" si="7"/>
        <v>2.99</v>
      </c>
      <c r="P105">
        <f t="shared" si="8"/>
        <v>3.5</v>
      </c>
      <c r="Q105">
        <f t="shared" si="9"/>
        <v>0</v>
      </c>
      <c r="R105">
        <f t="shared" si="10"/>
        <v>0</v>
      </c>
      <c r="S105">
        <f t="shared" si="11"/>
        <v>1</v>
      </c>
      <c r="T105" s="9">
        <f t="shared" si="12"/>
        <v>830070.97114727029</v>
      </c>
      <c r="U105" s="9">
        <f t="shared" si="13"/>
        <v>-18299.831147270277</v>
      </c>
    </row>
    <row r="106" spans="1:21">
      <c r="A106" t="s">
        <v>39</v>
      </c>
      <c r="B106" s="2">
        <v>45689</v>
      </c>
      <c r="C106" t="s">
        <v>15</v>
      </c>
      <c r="D106" t="s">
        <v>18</v>
      </c>
      <c r="E106">
        <v>36813.449999999997</v>
      </c>
      <c r="F106">
        <v>2834</v>
      </c>
      <c r="G106">
        <v>0.191</v>
      </c>
      <c r="H106">
        <v>11</v>
      </c>
      <c r="I106">
        <v>81.8</v>
      </c>
      <c r="J106">
        <v>2.33</v>
      </c>
      <c r="K106">
        <v>0</v>
      </c>
      <c r="L106">
        <v>3.3</v>
      </c>
      <c r="M106">
        <v>479050.5</v>
      </c>
      <c r="N106">
        <v>53651.11</v>
      </c>
      <c r="O106">
        <f t="shared" si="7"/>
        <v>2.33</v>
      </c>
      <c r="P106">
        <f t="shared" si="8"/>
        <v>3.3</v>
      </c>
      <c r="Q106">
        <f t="shared" si="9"/>
        <v>0</v>
      </c>
      <c r="R106">
        <f t="shared" si="10"/>
        <v>0</v>
      </c>
      <c r="S106">
        <f t="shared" si="11"/>
        <v>0</v>
      </c>
      <c r="T106" s="9">
        <f t="shared" si="12"/>
        <v>497162.21853141172</v>
      </c>
      <c r="U106" s="9">
        <f t="shared" si="13"/>
        <v>-18111.718531411723</v>
      </c>
    </row>
    <row r="107" spans="1:21">
      <c r="A107" t="s">
        <v>38</v>
      </c>
      <c r="B107" s="2">
        <v>45689</v>
      </c>
      <c r="C107" t="s">
        <v>27</v>
      </c>
      <c r="D107" t="s">
        <v>18</v>
      </c>
      <c r="E107">
        <v>51148.69</v>
      </c>
      <c r="F107">
        <v>7940</v>
      </c>
      <c r="G107">
        <v>0.156</v>
      </c>
      <c r="H107">
        <v>18</v>
      </c>
      <c r="I107">
        <v>93.3</v>
      </c>
      <c r="J107">
        <v>10.91</v>
      </c>
      <c r="K107">
        <v>0</v>
      </c>
      <c r="L107">
        <v>3.6</v>
      </c>
      <c r="M107">
        <v>717141.55</v>
      </c>
      <c r="N107">
        <v>134013.60999999999</v>
      </c>
      <c r="O107">
        <f t="shared" si="7"/>
        <v>10.91</v>
      </c>
      <c r="P107">
        <f t="shared" si="8"/>
        <v>3.6</v>
      </c>
      <c r="Q107">
        <f t="shared" si="9"/>
        <v>0</v>
      </c>
      <c r="R107">
        <f t="shared" si="10"/>
        <v>0</v>
      </c>
      <c r="S107">
        <f t="shared" si="11"/>
        <v>1</v>
      </c>
      <c r="T107" s="9">
        <f t="shared" si="12"/>
        <v>735139.5565171825</v>
      </c>
      <c r="U107" s="9">
        <f t="shared" si="13"/>
        <v>-17998.006517182454</v>
      </c>
    </row>
    <row r="108" spans="1:21">
      <c r="A108" t="s">
        <v>30</v>
      </c>
      <c r="B108" s="2">
        <v>45689</v>
      </c>
      <c r="C108" t="s">
        <v>20</v>
      </c>
      <c r="D108" t="s">
        <v>16</v>
      </c>
      <c r="E108">
        <v>73771.91</v>
      </c>
      <c r="F108">
        <v>11695</v>
      </c>
      <c r="G108">
        <v>7.0000000000000007E-2</v>
      </c>
      <c r="H108">
        <v>25</v>
      </c>
      <c r="I108">
        <v>84.7</v>
      </c>
      <c r="J108">
        <v>0.62</v>
      </c>
      <c r="K108">
        <v>0</v>
      </c>
      <c r="M108">
        <v>799477.76000000001</v>
      </c>
      <c r="N108">
        <v>164974.41</v>
      </c>
      <c r="O108">
        <f t="shared" si="7"/>
        <v>0.62</v>
      </c>
      <c r="P108">
        <f t="shared" si="8"/>
        <v>0</v>
      </c>
      <c r="Q108">
        <f t="shared" si="9"/>
        <v>1</v>
      </c>
      <c r="R108">
        <f t="shared" si="10"/>
        <v>0</v>
      </c>
      <c r="S108">
        <f t="shared" si="11"/>
        <v>0</v>
      </c>
      <c r="T108" s="9">
        <f t="shared" si="12"/>
        <v>816653.04529498913</v>
      </c>
      <c r="U108" s="9">
        <f t="shared" si="13"/>
        <v>-17175.285294989124</v>
      </c>
    </row>
    <row r="109" spans="1:21">
      <c r="A109" t="s">
        <v>69</v>
      </c>
      <c r="B109" s="2">
        <v>45717</v>
      </c>
      <c r="C109" t="s">
        <v>15</v>
      </c>
      <c r="D109" t="s">
        <v>18</v>
      </c>
      <c r="E109">
        <v>37705.879999999997</v>
      </c>
      <c r="F109">
        <v>1268</v>
      </c>
      <c r="G109">
        <v>0.25900000000000001</v>
      </c>
      <c r="H109">
        <v>9</v>
      </c>
      <c r="I109">
        <v>84.1</v>
      </c>
      <c r="J109">
        <v>4.7699999999999996</v>
      </c>
      <c r="K109">
        <v>0</v>
      </c>
      <c r="L109">
        <v>3.8</v>
      </c>
      <c r="M109">
        <v>443275.59</v>
      </c>
      <c r="N109">
        <v>53544.36</v>
      </c>
      <c r="O109">
        <f t="shared" si="7"/>
        <v>4.7699999999999996</v>
      </c>
      <c r="P109">
        <f t="shared" si="8"/>
        <v>3.8</v>
      </c>
      <c r="Q109">
        <f t="shared" si="9"/>
        <v>0</v>
      </c>
      <c r="R109">
        <f t="shared" si="10"/>
        <v>0</v>
      </c>
      <c r="S109">
        <f t="shared" si="11"/>
        <v>0</v>
      </c>
      <c r="T109" s="9">
        <f t="shared" si="12"/>
        <v>459873.00237540575</v>
      </c>
      <c r="U109" s="9">
        <f t="shared" si="13"/>
        <v>-16597.412375405722</v>
      </c>
    </row>
    <row r="110" spans="1:21">
      <c r="A110" t="s">
        <v>97</v>
      </c>
      <c r="B110" s="2">
        <v>45717</v>
      </c>
      <c r="C110" t="s">
        <v>20</v>
      </c>
      <c r="D110" t="s">
        <v>28</v>
      </c>
      <c r="E110">
        <v>52843.75</v>
      </c>
      <c r="F110">
        <v>8268</v>
      </c>
      <c r="G110">
        <v>0.13800000000000001</v>
      </c>
      <c r="H110">
        <v>19</v>
      </c>
      <c r="I110">
        <v>87.3</v>
      </c>
      <c r="J110">
        <v>4.3899999999999997</v>
      </c>
      <c r="K110">
        <v>1</v>
      </c>
      <c r="L110">
        <v>4.7</v>
      </c>
      <c r="M110">
        <v>730890.01</v>
      </c>
      <c r="N110">
        <v>105502.56</v>
      </c>
      <c r="O110">
        <f t="shared" si="7"/>
        <v>4.3899999999999997</v>
      </c>
      <c r="P110">
        <f t="shared" si="8"/>
        <v>4.7</v>
      </c>
      <c r="Q110">
        <f t="shared" si="9"/>
        <v>1</v>
      </c>
      <c r="R110">
        <f t="shared" si="10"/>
        <v>0</v>
      </c>
      <c r="S110">
        <f t="shared" si="11"/>
        <v>0</v>
      </c>
      <c r="T110" s="9">
        <f t="shared" si="12"/>
        <v>746763.66602754744</v>
      </c>
      <c r="U110" s="9">
        <f t="shared" si="13"/>
        <v>-15873.656027547433</v>
      </c>
    </row>
    <row r="111" spans="1:21">
      <c r="A111" t="s">
        <v>62</v>
      </c>
      <c r="B111" s="2">
        <v>45717</v>
      </c>
      <c r="C111" t="s">
        <v>24</v>
      </c>
      <c r="D111" t="s">
        <v>18</v>
      </c>
      <c r="E111">
        <v>57143.3</v>
      </c>
      <c r="F111">
        <v>8038</v>
      </c>
      <c r="G111">
        <v>0.193</v>
      </c>
      <c r="H111">
        <v>17</v>
      </c>
      <c r="I111">
        <v>72.599999999999994</v>
      </c>
      <c r="K111">
        <v>0</v>
      </c>
      <c r="L111">
        <v>4.2</v>
      </c>
      <c r="M111">
        <v>677096.71</v>
      </c>
      <c r="N111">
        <v>97174.11</v>
      </c>
      <c r="O111">
        <f t="shared" si="7"/>
        <v>0</v>
      </c>
      <c r="P111">
        <f t="shared" si="8"/>
        <v>4.2</v>
      </c>
      <c r="Q111">
        <f t="shared" si="9"/>
        <v>0</v>
      </c>
      <c r="R111">
        <f t="shared" si="10"/>
        <v>1</v>
      </c>
      <c r="S111">
        <f t="shared" si="11"/>
        <v>0</v>
      </c>
      <c r="T111" s="9">
        <f t="shared" si="12"/>
        <v>692953.46162783378</v>
      </c>
      <c r="U111" s="9">
        <f t="shared" si="13"/>
        <v>-15856.751627833815</v>
      </c>
    </row>
    <row r="112" spans="1:21">
      <c r="A112" t="s">
        <v>53</v>
      </c>
      <c r="B112" s="2">
        <v>45748</v>
      </c>
      <c r="C112" t="s">
        <v>24</v>
      </c>
      <c r="D112" t="s">
        <v>18</v>
      </c>
      <c r="E112">
        <v>37828.5</v>
      </c>
      <c r="F112">
        <v>8221</v>
      </c>
      <c r="G112">
        <v>9.6000000000000002E-2</v>
      </c>
      <c r="H112">
        <v>19</v>
      </c>
      <c r="I112">
        <v>81.5</v>
      </c>
      <c r="J112">
        <v>3.19</v>
      </c>
      <c r="K112">
        <v>0</v>
      </c>
      <c r="L112">
        <v>4.8</v>
      </c>
      <c r="M112">
        <v>697155.3</v>
      </c>
      <c r="N112">
        <v>136408.54</v>
      </c>
      <c r="O112">
        <f t="shared" si="7"/>
        <v>3.19</v>
      </c>
      <c r="P112">
        <f t="shared" si="8"/>
        <v>4.8</v>
      </c>
      <c r="Q112">
        <f t="shared" si="9"/>
        <v>0</v>
      </c>
      <c r="R112">
        <f t="shared" si="10"/>
        <v>1</v>
      </c>
      <c r="S112">
        <f t="shared" si="11"/>
        <v>0</v>
      </c>
      <c r="T112" s="9">
        <f t="shared" si="12"/>
        <v>712825.49005322112</v>
      </c>
      <c r="U112" s="9">
        <f t="shared" si="13"/>
        <v>-15670.190053221071</v>
      </c>
    </row>
    <row r="113" spans="1:21">
      <c r="A113" t="s">
        <v>46</v>
      </c>
      <c r="B113" s="2">
        <v>45658</v>
      </c>
      <c r="C113" t="s">
        <v>27</v>
      </c>
      <c r="D113" t="s">
        <v>28</v>
      </c>
      <c r="E113">
        <v>61132.07</v>
      </c>
      <c r="F113">
        <v>6394</v>
      </c>
      <c r="G113">
        <v>0.16300000000000001</v>
      </c>
      <c r="H113">
        <v>19</v>
      </c>
      <c r="I113">
        <v>91</v>
      </c>
      <c r="J113">
        <v>19.600000000000001</v>
      </c>
      <c r="K113">
        <v>0</v>
      </c>
      <c r="L113">
        <v>4.4000000000000004</v>
      </c>
      <c r="M113">
        <v>691113.62</v>
      </c>
      <c r="N113">
        <v>135145.44</v>
      </c>
      <c r="O113">
        <f t="shared" si="7"/>
        <v>19.600000000000001</v>
      </c>
      <c r="P113">
        <f t="shared" si="8"/>
        <v>4.4000000000000004</v>
      </c>
      <c r="Q113">
        <f t="shared" si="9"/>
        <v>0</v>
      </c>
      <c r="R113">
        <f t="shared" si="10"/>
        <v>0</v>
      </c>
      <c r="S113">
        <f t="shared" si="11"/>
        <v>1</v>
      </c>
      <c r="T113" s="9">
        <f t="shared" si="12"/>
        <v>706553.56079042295</v>
      </c>
      <c r="U113" s="9">
        <f t="shared" si="13"/>
        <v>-15439.940790422959</v>
      </c>
    </row>
    <row r="114" spans="1:21">
      <c r="A114" t="s">
        <v>22</v>
      </c>
      <c r="B114" s="2">
        <v>45717</v>
      </c>
      <c r="C114" t="s">
        <v>15</v>
      </c>
      <c r="D114" t="s">
        <v>16</v>
      </c>
      <c r="E114">
        <v>59909.51</v>
      </c>
      <c r="F114">
        <v>8895</v>
      </c>
      <c r="G114">
        <v>0.22800000000000001</v>
      </c>
      <c r="H114">
        <v>23</v>
      </c>
      <c r="I114">
        <v>88.8</v>
      </c>
      <c r="J114">
        <v>0.27</v>
      </c>
      <c r="K114">
        <v>0</v>
      </c>
      <c r="L114">
        <v>4.3</v>
      </c>
      <c r="M114">
        <v>746501.09</v>
      </c>
      <c r="N114">
        <v>136816.72</v>
      </c>
      <c r="O114">
        <f t="shared" si="7"/>
        <v>0.27</v>
      </c>
      <c r="P114">
        <f t="shared" si="8"/>
        <v>4.3</v>
      </c>
      <c r="Q114">
        <f t="shared" si="9"/>
        <v>0</v>
      </c>
      <c r="R114">
        <f t="shared" si="10"/>
        <v>0</v>
      </c>
      <c r="S114">
        <f t="shared" si="11"/>
        <v>0</v>
      </c>
      <c r="T114" s="9">
        <f t="shared" si="12"/>
        <v>761449.67572182289</v>
      </c>
      <c r="U114" s="9">
        <f t="shared" si="13"/>
        <v>-14948.585721822921</v>
      </c>
    </row>
    <row r="115" spans="1:21">
      <c r="A115" t="s">
        <v>55</v>
      </c>
      <c r="B115" s="2">
        <v>45689</v>
      </c>
      <c r="C115" t="s">
        <v>20</v>
      </c>
      <c r="D115" t="s">
        <v>18</v>
      </c>
      <c r="E115">
        <v>22071.64</v>
      </c>
      <c r="F115">
        <v>1814</v>
      </c>
      <c r="G115">
        <v>0.19600000000000001</v>
      </c>
      <c r="H115">
        <v>8</v>
      </c>
      <c r="I115">
        <v>81.099999999999994</v>
      </c>
      <c r="J115">
        <v>0.78</v>
      </c>
      <c r="K115">
        <v>0</v>
      </c>
      <c r="M115">
        <v>400831.65</v>
      </c>
      <c r="N115">
        <v>70979.31</v>
      </c>
      <c r="O115">
        <f t="shared" si="7"/>
        <v>0.78</v>
      </c>
      <c r="P115">
        <f t="shared" si="8"/>
        <v>0</v>
      </c>
      <c r="Q115">
        <f t="shared" si="9"/>
        <v>1</v>
      </c>
      <c r="R115">
        <f t="shared" si="10"/>
        <v>0</v>
      </c>
      <c r="S115">
        <f t="shared" si="11"/>
        <v>0</v>
      </c>
      <c r="T115" s="9">
        <f t="shared" si="12"/>
        <v>415612.05067106104</v>
      </c>
      <c r="U115" s="9">
        <f t="shared" si="13"/>
        <v>-14780.400671061012</v>
      </c>
    </row>
    <row r="116" spans="1:21">
      <c r="A116" t="s">
        <v>96</v>
      </c>
      <c r="B116" s="2">
        <v>45717</v>
      </c>
      <c r="C116" t="s">
        <v>27</v>
      </c>
      <c r="D116" t="s">
        <v>18</v>
      </c>
      <c r="E116">
        <v>46174.7</v>
      </c>
      <c r="F116">
        <v>4898</v>
      </c>
      <c r="G116">
        <v>0.114</v>
      </c>
      <c r="H116">
        <v>11</v>
      </c>
      <c r="I116">
        <v>91.7</v>
      </c>
      <c r="J116">
        <v>3.75</v>
      </c>
      <c r="K116">
        <v>0</v>
      </c>
      <c r="L116">
        <v>3.1</v>
      </c>
      <c r="M116">
        <v>599017.32999999996</v>
      </c>
      <c r="N116">
        <v>134009.92000000001</v>
      </c>
      <c r="O116">
        <f t="shared" si="7"/>
        <v>3.75</v>
      </c>
      <c r="P116">
        <f t="shared" si="8"/>
        <v>3.1</v>
      </c>
      <c r="Q116">
        <f t="shared" si="9"/>
        <v>0</v>
      </c>
      <c r="R116">
        <f t="shared" si="10"/>
        <v>0</v>
      </c>
      <c r="S116">
        <f t="shared" si="11"/>
        <v>1</v>
      </c>
      <c r="T116" s="9">
        <f t="shared" si="12"/>
        <v>613520.81418363436</v>
      </c>
      <c r="U116" s="9">
        <f t="shared" si="13"/>
        <v>-14503.484183634399</v>
      </c>
    </row>
    <row r="117" spans="1:21">
      <c r="A117" t="s">
        <v>90</v>
      </c>
      <c r="B117" s="2">
        <v>45717</v>
      </c>
      <c r="C117" t="s">
        <v>27</v>
      </c>
      <c r="D117" t="s">
        <v>18</v>
      </c>
      <c r="E117">
        <v>47648.71</v>
      </c>
      <c r="F117">
        <v>5767</v>
      </c>
      <c r="G117">
        <v>0.14099999999999999</v>
      </c>
      <c r="H117">
        <v>17</v>
      </c>
      <c r="I117">
        <v>89.8</v>
      </c>
      <c r="J117">
        <v>1.76</v>
      </c>
      <c r="K117">
        <v>0</v>
      </c>
      <c r="L117">
        <v>3.1</v>
      </c>
      <c r="M117">
        <v>635837.74</v>
      </c>
      <c r="N117">
        <v>114740.64</v>
      </c>
      <c r="O117">
        <f t="shared" si="7"/>
        <v>1.76</v>
      </c>
      <c r="P117">
        <f t="shared" si="8"/>
        <v>3.1</v>
      </c>
      <c r="Q117">
        <f t="shared" si="9"/>
        <v>0</v>
      </c>
      <c r="R117">
        <f t="shared" si="10"/>
        <v>0</v>
      </c>
      <c r="S117">
        <f t="shared" si="11"/>
        <v>1</v>
      </c>
      <c r="T117" s="9">
        <f t="shared" si="12"/>
        <v>650206.50338803406</v>
      </c>
      <c r="U117" s="9">
        <f t="shared" si="13"/>
        <v>-14368.763388034073</v>
      </c>
    </row>
    <row r="118" spans="1:21">
      <c r="A118" t="s">
        <v>92</v>
      </c>
      <c r="B118" s="2">
        <v>45748</v>
      </c>
      <c r="C118" t="s">
        <v>24</v>
      </c>
      <c r="D118" t="s">
        <v>18</v>
      </c>
      <c r="E118">
        <v>18599.21</v>
      </c>
      <c r="F118">
        <v>3027</v>
      </c>
      <c r="G118">
        <v>0.122</v>
      </c>
      <c r="H118">
        <v>11</v>
      </c>
      <c r="I118">
        <v>80.900000000000006</v>
      </c>
      <c r="J118">
        <v>6.44</v>
      </c>
      <c r="K118">
        <v>0</v>
      </c>
      <c r="L118">
        <v>4.2</v>
      </c>
      <c r="M118">
        <v>497439.82</v>
      </c>
      <c r="N118">
        <v>93372.75</v>
      </c>
      <c r="O118">
        <f t="shared" si="7"/>
        <v>6.44</v>
      </c>
      <c r="P118">
        <f t="shared" si="8"/>
        <v>4.2</v>
      </c>
      <c r="Q118">
        <f t="shared" si="9"/>
        <v>0</v>
      </c>
      <c r="R118">
        <f t="shared" si="10"/>
        <v>1</v>
      </c>
      <c r="S118">
        <f t="shared" si="11"/>
        <v>0</v>
      </c>
      <c r="T118" s="9">
        <f t="shared" si="12"/>
        <v>511476.60614192707</v>
      </c>
      <c r="U118" s="9">
        <f t="shared" si="13"/>
        <v>-14036.786141927063</v>
      </c>
    </row>
    <row r="119" spans="1:21">
      <c r="A119" t="s">
        <v>70</v>
      </c>
      <c r="B119" s="2">
        <v>45717</v>
      </c>
      <c r="C119" t="s">
        <v>27</v>
      </c>
      <c r="D119" t="s">
        <v>16</v>
      </c>
      <c r="E119">
        <v>40220.18</v>
      </c>
      <c r="F119">
        <v>3783</v>
      </c>
      <c r="G119">
        <v>8.8999999999999996E-2</v>
      </c>
      <c r="H119">
        <v>14</v>
      </c>
      <c r="I119">
        <v>86.6</v>
      </c>
      <c r="J119">
        <v>3.63</v>
      </c>
      <c r="K119">
        <v>0</v>
      </c>
      <c r="L119">
        <v>3.7</v>
      </c>
      <c r="M119">
        <v>559422.02</v>
      </c>
      <c r="N119">
        <v>73528.740000000005</v>
      </c>
      <c r="O119">
        <f t="shared" si="7"/>
        <v>3.63</v>
      </c>
      <c r="P119">
        <f t="shared" si="8"/>
        <v>3.7</v>
      </c>
      <c r="Q119">
        <f t="shared" si="9"/>
        <v>0</v>
      </c>
      <c r="R119">
        <f t="shared" si="10"/>
        <v>0</v>
      </c>
      <c r="S119">
        <f t="shared" si="11"/>
        <v>1</v>
      </c>
      <c r="T119" s="9">
        <f t="shared" si="12"/>
        <v>573197.80557258544</v>
      </c>
      <c r="U119" s="9">
        <f t="shared" si="13"/>
        <v>-13775.785572585417</v>
      </c>
    </row>
    <row r="120" spans="1:21">
      <c r="A120" t="s">
        <v>78</v>
      </c>
      <c r="B120" s="2">
        <v>45717</v>
      </c>
      <c r="C120" t="s">
        <v>15</v>
      </c>
      <c r="D120" t="s">
        <v>28</v>
      </c>
      <c r="E120">
        <v>42932.02</v>
      </c>
      <c r="F120">
        <v>3872</v>
      </c>
      <c r="G120">
        <v>0.17100000000000001</v>
      </c>
      <c r="H120">
        <v>12</v>
      </c>
      <c r="I120">
        <v>83.2</v>
      </c>
      <c r="J120">
        <v>15.58</v>
      </c>
      <c r="K120">
        <v>0</v>
      </c>
      <c r="L120">
        <v>3.3</v>
      </c>
      <c r="M120">
        <v>527681.56000000006</v>
      </c>
      <c r="N120">
        <v>63153.05</v>
      </c>
      <c r="O120">
        <f t="shared" si="7"/>
        <v>15.58</v>
      </c>
      <c r="P120">
        <f t="shared" si="8"/>
        <v>3.3</v>
      </c>
      <c r="Q120">
        <f t="shared" si="9"/>
        <v>0</v>
      </c>
      <c r="R120">
        <f t="shared" si="10"/>
        <v>0</v>
      </c>
      <c r="S120">
        <f t="shared" si="11"/>
        <v>0</v>
      </c>
      <c r="T120" s="9">
        <f t="shared" si="12"/>
        <v>541096.80010730366</v>
      </c>
      <c r="U120" s="9">
        <f t="shared" si="13"/>
        <v>-13415.240107303602</v>
      </c>
    </row>
    <row r="121" spans="1:21">
      <c r="A121" t="s">
        <v>67</v>
      </c>
      <c r="B121" s="2">
        <v>45658</v>
      </c>
      <c r="C121" t="s">
        <v>27</v>
      </c>
      <c r="D121" t="s">
        <v>16</v>
      </c>
      <c r="E121">
        <v>68491.11</v>
      </c>
      <c r="F121">
        <v>11154</v>
      </c>
      <c r="G121">
        <v>1E-3</v>
      </c>
      <c r="H121">
        <v>24</v>
      </c>
      <c r="I121">
        <v>89.4</v>
      </c>
      <c r="J121">
        <v>5.27</v>
      </c>
      <c r="K121">
        <v>1</v>
      </c>
      <c r="L121">
        <v>3.9</v>
      </c>
      <c r="M121">
        <v>855341.28</v>
      </c>
      <c r="N121">
        <v>175823.8</v>
      </c>
      <c r="O121">
        <f t="shared" si="7"/>
        <v>5.27</v>
      </c>
      <c r="P121">
        <f t="shared" si="8"/>
        <v>3.9</v>
      </c>
      <c r="Q121">
        <f t="shared" si="9"/>
        <v>0</v>
      </c>
      <c r="R121">
        <f t="shared" si="10"/>
        <v>0</v>
      </c>
      <c r="S121">
        <f t="shared" si="11"/>
        <v>1</v>
      </c>
      <c r="T121" s="9">
        <f t="shared" si="12"/>
        <v>868483.33647822053</v>
      </c>
      <c r="U121" s="9">
        <f t="shared" si="13"/>
        <v>-13142.056478220504</v>
      </c>
    </row>
    <row r="122" spans="1:21">
      <c r="A122" t="s">
        <v>58</v>
      </c>
      <c r="B122" s="2">
        <v>45717</v>
      </c>
      <c r="C122" t="s">
        <v>20</v>
      </c>
      <c r="D122" t="s">
        <v>16</v>
      </c>
      <c r="E122">
        <v>53351.7</v>
      </c>
      <c r="F122">
        <v>4259</v>
      </c>
      <c r="G122">
        <v>0.156</v>
      </c>
      <c r="H122">
        <v>15</v>
      </c>
      <c r="I122">
        <v>93.7</v>
      </c>
      <c r="J122">
        <v>6.03</v>
      </c>
      <c r="K122">
        <v>0</v>
      </c>
      <c r="L122">
        <v>3.4</v>
      </c>
      <c r="M122">
        <v>601568.87</v>
      </c>
      <c r="N122">
        <v>91634.82</v>
      </c>
      <c r="O122">
        <f t="shared" si="7"/>
        <v>6.03</v>
      </c>
      <c r="P122">
        <f t="shared" si="8"/>
        <v>3.4</v>
      </c>
      <c r="Q122">
        <f t="shared" si="9"/>
        <v>1</v>
      </c>
      <c r="R122">
        <f t="shared" si="10"/>
        <v>0</v>
      </c>
      <c r="S122">
        <f t="shared" si="11"/>
        <v>0</v>
      </c>
      <c r="T122" s="9">
        <f t="shared" si="12"/>
        <v>613897.7090023763</v>
      </c>
      <c r="U122" s="9">
        <f t="shared" si="13"/>
        <v>-12328.839002376306</v>
      </c>
    </row>
    <row r="123" spans="1:21">
      <c r="A123" t="s">
        <v>68</v>
      </c>
      <c r="B123" s="2">
        <v>45658</v>
      </c>
      <c r="C123" t="s">
        <v>20</v>
      </c>
      <c r="D123" t="s">
        <v>18</v>
      </c>
      <c r="E123">
        <v>71941.62</v>
      </c>
      <c r="F123">
        <v>6084</v>
      </c>
      <c r="G123">
        <v>7.1999999999999995E-2</v>
      </c>
      <c r="H123">
        <v>13</v>
      </c>
      <c r="I123">
        <v>93.7</v>
      </c>
      <c r="J123">
        <v>2.34</v>
      </c>
      <c r="K123">
        <v>0</v>
      </c>
      <c r="L123">
        <v>4.4000000000000004</v>
      </c>
      <c r="M123">
        <v>681855.56</v>
      </c>
      <c r="N123">
        <v>117645.61</v>
      </c>
      <c r="O123">
        <f t="shared" si="7"/>
        <v>2.34</v>
      </c>
      <c r="P123">
        <f t="shared" si="8"/>
        <v>4.4000000000000004</v>
      </c>
      <c r="Q123">
        <f t="shared" si="9"/>
        <v>1</v>
      </c>
      <c r="R123">
        <f t="shared" si="10"/>
        <v>0</v>
      </c>
      <c r="S123">
        <f t="shared" si="11"/>
        <v>0</v>
      </c>
      <c r="T123" s="9">
        <f t="shared" si="12"/>
        <v>693925.09735276923</v>
      </c>
      <c r="U123" s="9">
        <f t="shared" si="13"/>
        <v>-12069.53735276917</v>
      </c>
    </row>
    <row r="124" spans="1:21">
      <c r="A124" t="s">
        <v>25</v>
      </c>
      <c r="B124" s="2">
        <v>45748</v>
      </c>
      <c r="C124" t="s">
        <v>20</v>
      </c>
      <c r="D124" t="s">
        <v>16</v>
      </c>
      <c r="E124">
        <v>62060.43</v>
      </c>
      <c r="F124">
        <v>2613</v>
      </c>
      <c r="G124">
        <v>0.216</v>
      </c>
      <c r="H124">
        <v>12</v>
      </c>
      <c r="I124">
        <v>92.1</v>
      </c>
      <c r="J124">
        <v>1.55</v>
      </c>
      <c r="K124">
        <v>0</v>
      </c>
      <c r="L124">
        <v>4.7</v>
      </c>
      <c r="M124">
        <v>565810.99</v>
      </c>
      <c r="N124">
        <v>77825.460000000006</v>
      </c>
      <c r="O124">
        <f t="shared" si="7"/>
        <v>1.55</v>
      </c>
      <c r="P124">
        <f t="shared" si="8"/>
        <v>4.7</v>
      </c>
      <c r="Q124">
        <f t="shared" si="9"/>
        <v>1</v>
      </c>
      <c r="R124">
        <f t="shared" si="10"/>
        <v>0</v>
      </c>
      <c r="S124">
        <f t="shared" si="11"/>
        <v>0</v>
      </c>
      <c r="T124" s="9">
        <f t="shared" si="12"/>
        <v>577855.76023082191</v>
      </c>
      <c r="U124" s="9">
        <f t="shared" si="13"/>
        <v>-12044.770230821916</v>
      </c>
    </row>
    <row r="125" spans="1:21">
      <c r="A125" t="s">
        <v>93</v>
      </c>
      <c r="B125" s="2">
        <v>45689</v>
      </c>
      <c r="C125" t="s">
        <v>27</v>
      </c>
      <c r="D125" t="s">
        <v>16</v>
      </c>
      <c r="E125">
        <v>74539.14</v>
      </c>
      <c r="F125">
        <v>4487</v>
      </c>
      <c r="G125">
        <v>0.14000000000000001</v>
      </c>
      <c r="H125">
        <v>10</v>
      </c>
      <c r="I125">
        <v>90.4</v>
      </c>
      <c r="J125">
        <v>0.59</v>
      </c>
      <c r="K125">
        <v>0</v>
      </c>
      <c r="L125">
        <v>4.5</v>
      </c>
      <c r="M125">
        <v>633009.53</v>
      </c>
      <c r="N125">
        <v>123782.67</v>
      </c>
      <c r="O125">
        <f t="shared" si="7"/>
        <v>0.59</v>
      </c>
      <c r="P125">
        <f t="shared" si="8"/>
        <v>4.5</v>
      </c>
      <c r="Q125">
        <f t="shared" si="9"/>
        <v>0</v>
      </c>
      <c r="R125">
        <f t="shared" si="10"/>
        <v>0</v>
      </c>
      <c r="S125">
        <f t="shared" si="11"/>
        <v>1</v>
      </c>
      <c r="T125" s="9">
        <f t="shared" si="12"/>
        <v>643603.29956997605</v>
      </c>
      <c r="U125" s="9">
        <f t="shared" si="13"/>
        <v>-10593.769569976022</v>
      </c>
    </row>
    <row r="126" spans="1:21">
      <c r="A126" t="s">
        <v>61</v>
      </c>
      <c r="B126" s="2">
        <v>45689</v>
      </c>
      <c r="C126" t="s">
        <v>20</v>
      </c>
      <c r="D126" t="s">
        <v>28</v>
      </c>
      <c r="E126">
        <v>41863.08</v>
      </c>
      <c r="F126">
        <v>5400</v>
      </c>
      <c r="G126">
        <v>0.114</v>
      </c>
      <c r="H126">
        <v>11</v>
      </c>
      <c r="I126">
        <v>91.6</v>
      </c>
      <c r="J126">
        <v>7.99</v>
      </c>
      <c r="K126">
        <v>0</v>
      </c>
      <c r="L126">
        <v>3</v>
      </c>
      <c r="M126">
        <v>602002.31999999995</v>
      </c>
      <c r="N126">
        <v>110453.28</v>
      </c>
      <c r="O126">
        <f t="shared" si="7"/>
        <v>7.99</v>
      </c>
      <c r="P126">
        <f t="shared" si="8"/>
        <v>3</v>
      </c>
      <c r="Q126">
        <f t="shared" si="9"/>
        <v>1</v>
      </c>
      <c r="R126">
        <f t="shared" si="10"/>
        <v>0</v>
      </c>
      <c r="S126">
        <f t="shared" si="11"/>
        <v>0</v>
      </c>
      <c r="T126" s="9">
        <f t="shared" si="12"/>
        <v>612465.2715667648</v>
      </c>
      <c r="U126" s="9">
        <f t="shared" si="13"/>
        <v>-10462.951566764852</v>
      </c>
    </row>
    <row r="127" spans="1:21">
      <c r="A127" t="s">
        <v>60</v>
      </c>
      <c r="B127" s="2">
        <v>45658</v>
      </c>
      <c r="C127" t="s">
        <v>15</v>
      </c>
      <c r="D127" t="s">
        <v>18</v>
      </c>
      <c r="E127">
        <v>75645.23</v>
      </c>
      <c r="F127">
        <v>9674</v>
      </c>
      <c r="G127">
        <v>0.23400000000000001</v>
      </c>
      <c r="H127">
        <v>21</v>
      </c>
      <c r="I127">
        <v>87.4</v>
      </c>
      <c r="J127">
        <v>0.2</v>
      </c>
      <c r="K127">
        <v>0</v>
      </c>
      <c r="L127">
        <v>4.5</v>
      </c>
      <c r="M127">
        <v>785028.25</v>
      </c>
      <c r="N127">
        <v>110726.44</v>
      </c>
      <c r="O127">
        <f t="shared" si="7"/>
        <v>0.2</v>
      </c>
      <c r="P127">
        <f t="shared" si="8"/>
        <v>4.5</v>
      </c>
      <c r="Q127">
        <f t="shared" si="9"/>
        <v>0</v>
      </c>
      <c r="R127">
        <f t="shared" si="10"/>
        <v>0</v>
      </c>
      <c r="S127">
        <f t="shared" si="11"/>
        <v>0</v>
      </c>
      <c r="T127" s="9">
        <f t="shared" si="12"/>
        <v>795470.15758813475</v>
      </c>
      <c r="U127" s="9">
        <f t="shared" si="13"/>
        <v>-10441.907588134753</v>
      </c>
    </row>
    <row r="128" spans="1:21">
      <c r="A128" t="s">
        <v>65</v>
      </c>
      <c r="B128" s="2">
        <v>45717</v>
      </c>
      <c r="C128" t="s">
        <v>15</v>
      </c>
      <c r="D128" t="s">
        <v>16</v>
      </c>
      <c r="E128">
        <v>68040.149999999994</v>
      </c>
      <c r="F128">
        <v>9826</v>
      </c>
      <c r="G128">
        <v>0.125</v>
      </c>
      <c r="H128">
        <v>20</v>
      </c>
      <c r="I128">
        <v>83.9</v>
      </c>
      <c r="J128">
        <v>9.1199999999999992</v>
      </c>
      <c r="K128">
        <v>0</v>
      </c>
      <c r="L128">
        <v>3.6</v>
      </c>
      <c r="M128">
        <v>758138.29</v>
      </c>
      <c r="N128">
        <v>132975.26</v>
      </c>
      <c r="O128">
        <f t="shared" si="7"/>
        <v>9.1199999999999992</v>
      </c>
      <c r="P128">
        <f t="shared" si="8"/>
        <v>3.6</v>
      </c>
      <c r="Q128">
        <f t="shared" si="9"/>
        <v>0</v>
      </c>
      <c r="R128">
        <f t="shared" si="10"/>
        <v>0</v>
      </c>
      <c r="S128">
        <f t="shared" si="11"/>
        <v>0</v>
      </c>
      <c r="T128" s="9">
        <f t="shared" si="12"/>
        <v>768552.08775539801</v>
      </c>
      <c r="U128" s="9">
        <f t="shared" si="13"/>
        <v>-10413.797755397973</v>
      </c>
    </row>
    <row r="129" spans="1:21">
      <c r="A129" t="s">
        <v>46</v>
      </c>
      <c r="B129" s="2">
        <v>45717</v>
      </c>
      <c r="C129" t="s">
        <v>27</v>
      </c>
      <c r="D129" t="s">
        <v>28</v>
      </c>
      <c r="E129">
        <v>38752.800000000003</v>
      </c>
      <c r="F129">
        <v>4712</v>
      </c>
      <c r="G129">
        <v>7.4999999999999997E-2</v>
      </c>
      <c r="H129">
        <v>15</v>
      </c>
      <c r="I129">
        <v>89.7</v>
      </c>
      <c r="K129">
        <v>0</v>
      </c>
      <c r="L129">
        <v>4.3</v>
      </c>
      <c r="M129">
        <v>605775.32999999996</v>
      </c>
      <c r="N129">
        <v>107194.6</v>
      </c>
      <c r="O129">
        <f t="shared" si="7"/>
        <v>0</v>
      </c>
      <c r="P129">
        <f t="shared" si="8"/>
        <v>4.3</v>
      </c>
      <c r="Q129">
        <f t="shared" si="9"/>
        <v>0</v>
      </c>
      <c r="R129">
        <f t="shared" si="10"/>
        <v>0</v>
      </c>
      <c r="S129">
        <f t="shared" si="11"/>
        <v>1</v>
      </c>
      <c r="T129" s="9">
        <f t="shared" si="12"/>
        <v>616189.00122038089</v>
      </c>
      <c r="U129" s="9">
        <f t="shared" si="13"/>
        <v>-10413.671220380929</v>
      </c>
    </row>
    <row r="130" spans="1:21">
      <c r="A130" t="s">
        <v>84</v>
      </c>
      <c r="B130" s="2">
        <v>45689</v>
      </c>
      <c r="C130" t="s">
        <v>20</v>
      </c>
      <c r="D130" t="s">
        <v>18</v>
      </c>
      <c r="E130">
        <v>72932.55</v>
      </c>
      <c r="F130">
        <v>5765</v>
      </c>
      <c r="G130">
        <v>2.5999999999999999E-2</v>
      </c>
      <c r="H130">
        <v>17</v>
      </c>
      <c r="I130">
        <v>81.8</v>
      </c>
      <c r="J130">
        <v>5.0999999999999996</v>
      </c>
      <c r="K130">
        <v>0</v>
      </c>
      <c r="L130">
        <v>3.6</v>
      </c>
      <c r="M130">
        <v>642751.42000000004</v>
      </c>
      <c r="N130">
        <v>131942.15</v>
      </c>
      <c r="O130">
        <f t="shared" ref="O130:O193" si="14">IF(ISBLANK(J130),$AA$1,J130)</f>
        <v>5.0999999999999996</v>
      </c>
      <c r="P130">
        <f t="shared" ref="P130:P193" si="15">IF(ISBLANK(L130),$AB$1,L130)</f>
        <v>3.6</v>
      </c>
      <c r="Q130">
        <f t="shared" ref="Q130:Q193" si="16">IF(TRIM($C130)="North",1,0)</f>
        <v>1</v>
      </c>
      <c r="R130">
        <f t="shared" ref="R130:R193" si="17">IF(TRIM($C130)="South",1,0)</f>
        <v>0</v>
      </c>
      <c r="S130">
        <f t="shared" ref="S130:S193" si="18">IF(TRIM($C130)="West",1,0)</f>
        <v>0</v>
      </c>
      <c r="T130" s="9">
        <f t="shared" ref="T130:T193" si="19">67872.24452+(1.191785586*E130)+(28.84384382*F130)+(2946.815912*I130)+(2577.105881*H130)+(10386.38644*P130)+(12885.25058*K130)+(9508.793539*Q130)+(23759.38097*R130)+(18572.09895*S130)</f>
        <v>652837.09228412434</v>
      </c>
      <c r="U130" s="9">
        <f t="shared" ref="U130:U193" si="20">M130-T130</f>
        <v>-10085.672284124303</v>
      </c>
    </row>
    <row r="131" spans="1:21">
      <c r="A131" t="s">
        <v>54</v>
      </c>
      <c r="B131" s="2">
        <v>45748</v>
      </c>
      <c r="C131" t="s">
        <v>15</v>
      </c>
      <c r="D131" t="s">
        <v>18</v>
      </c>
      <c r="E131">
        <v>66455.8</v>
      </c>
      <c r="F131">
        <v>10836</v>
      </c>
      <c r="G131">
        <v>8.8999999999999996E-2</v>
      </c>
      <c r="H131">
        <v>25</v>
      </c>
      <c r="I131">
        <v>85</v>
      </c>
      <c r="J131">
        <v>9.77</v>
      </c>
      <c r="K131">
        <v>0</v>
      </c>
      <c r="L131">
        <v>4.5</v>
      </c>
      <c r="M131">
        <v>811452.72</v>
      </c>
      <c r="N131">
        <v>131325.67000000001</v>
      </c>
      <c r="O131">
        <f t="shared" si="14"/>
        <v>9.77</v>
      </c>
      <c r="P131">
        <f t="shared" si="15"/>
        <v>4.5</v>
      </c>
      <c r="Q131">
        <f t="shared" si="16"/>
        <v>0</v>
      </c>
      <c r="R131">
        <f t="shared" si="17"/>
        <v>0</v>
      </c>
      <c r="S131">
        <f t="shared" si="18"/>
        <v>0</v>
      </c>
      <c r="T131" s="9">
        <f t="shared" si="19"/>
        <v>821270.93922461872</v>
      </c>
      <c r="U131" s="9">
        <f t="shared" si="20"/>
        <v>-9818.2192246187478</v>
      </c>
    </row>
    <row r="132" spans="1:21">
      <c r="A132" t="s">
        <v>64</v>
      </c>
      <c r="B132" s="2">
        <v>45748</v>
      </c>
      <c r="C132" t="s">
        <v>15</v>
      </c>
      <c r="D132" t="s">
        <v>16</v>
      </c>
      <c r="E132">
        <v>36606.51</v>
      </c>
      <c r="F132">
        <v>7671</v>
      </c>
      <c r="G132">
        <v>0.11799999999999999</v>
      </c>
      <c r="H132">
        <v>18</v>
      </c>
      <c r="I132">
        <v>89.8</v>
      </c>
      <c r="J132">
        <v>0.25</v>
      </c>
      <c r="K132">
        <v>0</v>
      </c>
      <c r="L132">
        <v>4.4000000000000004</v>
      </c>
      <c r="M132">
        <v>679731.57</v>
      </c>
      <c r="N132">
        <v>121546.42</v>
      </c>
      <c r="O132">
        <f t="shared" si="14"/>
        <v>0.25</v>
      </c>
      <c r="P132">
        <f t="shared" si="15"/>
        <v>4.4000000000000004</v>
      </c>
      <c r="Q132">
        <f t="shared" si="16"/>
        <v>0</v>
      </c>
      <c r="R132">
        <f t="shared" si="17"/>
        <v>0</v>
      </c>
      <c r="S132">
        <f t="shared" si="18"/>
        <v>0</v>
      </c>
      <c r="T132" s="9">
        <f t="shared" si="19"/>
        <v>689472.5565265849</v>
      </c>
      <c r="U132" s="9">
        <f t="shared" si="20"/>
        <v>-9740.9865265849512</v>
      </c>
    </row>
    <row r="133" spans="1:21">
      <c r="A133" t="s">
        <v>72</v>
      </c>
      <c r="B133" s="2">
        <v>45658</v>
      </c>
      <c r="C133" t="s">
        <v>15</v>
      </c>
      <c r="D133" t="s">
        <v>21</v>
      </c>
      <c r="E133">
        <v>22312.93</v>
      </c>
      <c r="F133">
        <v>5955</v>
      </c>
      <c r="G133">
        <v>0.123</v>
      </c>
      <c r="H133">
        <v>13</v>
      </c>
      <c r="I133">
        <v>84.2</v>
      </c>
      <c r="J133">
        <v>0.41</v>
      </c>
      <c r="K133">
        <v>1</v>
      </c>
      <c r="L133">
        <v>4.5999999999999996</v>
      </c>
      <c r="M133">
        <v>598904.9</v>
      </c>
      <c r="N133">
        <v>72861</v>
      </c>
      <c r="O133">
        <f t="shared" si="14"/>
        <v>0.41</v>
      </c>
      <c r="P133">
        <f t="shared" si="15"/>
        <v>4.5999999999999996</v>
      </c>
      <c r="Q133">
        <f t="shared" si="16"/>
        <v>0</v>
      </c>
      <c r="R133">
        <f t="shared" si="17"/>
        <v>0</v>
      </c>
      <c r="S133">
        <f t="shared" si="18"/>
        <v>0</v>
      </c>
      <c r="T133" s="9">
        <f t="shared" si="19"/>
        <v>608516.46727092692</v>
      </c>
      <c r="U133" s="9">
        <f t="shared" si="20"/>
        <v>-9611.5672709268983</v>
      </c>
    </row>
    <row r="134" spans="1:21">
      <c r="A134" t="s">
        <v>37</v>
      </c>
      <c r="B134" s="2">
        <v>45717</v>
      </c>
      <c r="C134" t="s">
        <v>24</v>
      </c>
      <c r="D134" t="s">
        <v>18</v>
      </c>
      <c r="E134">
        <v>50343.19</v>
      </c>
      <c r="F134">
        <v>3845</v>
      </c>
      <c r="G134">
        <v>0.113</v>
      </c>
      <c r="H134">
        <v>9</v>
      </c>
      <c r="I134">
        <v>88.7</v>
      </c>
      <c r="J134">
        <v>5.15</v>
      </c>
      <c r="K134">
        <v>0</v>
      </c>
      <c r="L134">
        <v>3.3</v>
      </c>
      <c r="M134">
        <v>572011.19999999995</v>
      </c>
      <c r="N134">
        <v>101409.68</v>
      </c>
      <c r="O134">
        <f t="shared" si="14"/>
        <v>5.15</v>
      </c>
      <c r="P134">
        <f t="shared" si="15"/>
        <v>3.3</v>
      </c>
      <c r="Q134">
        <f t="shared" si="16"/>
        <v>0</v>
      </c>
      <c r="R134">
        <f t="shared" si="17"/>
        <v>1</v>
      </c>
      <c r="S134">
        <f t="shared" si="18"/>
        <v>0</v>
      </c>
      <c r="T134" s="9">
        <f t="shared" si="19"/>
        <v>581386.09274855931</v>
      </c>
      <c r="U134" s="9">
        <f t="shared" si="20"/>
        <v>-9374.8927485593595</v>
      </c>
    </row>
    <row r="135" spans="1:21">
      <c r="A135" t="s">
        <v>17</v>
      </c>
      <c r="B135" s="2">
        <v>45689</v>
      </c>
      <c r="C135" t="s">
        <v>15</v>
      </c>
      <c r="D135" t="s">
        <v>18</v>
      </c>
      <c r="E135">
        <v>64811.21</v>
      </c>
      <c r="F135">
        <v>9792</v>
      </c>
      <c r="G135">
        <v>0.112</v>
      </c>
      <c r="H135">
        <v>20</v>
      </c>
      <c r="I135">
        <v>84.2</v>
      </c>
      <c r="J135">
        <v>2.88</v>
      </c>
      <c r="K135">
        <v>0</v>
      </c>
      <c r="L135">
        <v>4.2</v>
      </c>
      <c r="M135">
        <v>761835.34</v>
      </c>
      <c r="N135">
        <v>149602.23000000001</v>
      </c>
      <c r="O135">
        <f t="shared" si="14"/>
        <v>2.88</v>
      </c>
      <c r="P135">
        <f t="shared" si="15"/>
        <v>4.2</v>
      </c>
      <c r="Q135">
        <f t="shared" si="16"/>
        <v>0</v>
      </c>
      <c r="R135">
        <f t="shared" si="17"/>
        <v>0</v>
      </c>
      <c r="S135">
        <f t="shared" si="18"/>
        <v>0</v>
      </c>
      <c r="T135" s="9">
        <f t="shared" si="19"/>
        <v>770839.06955305906</v>
      </c>
      <c r="U135" s="9">
        <f t="shared" si="20"/>
        <v>-9003.7295530590927</v>
      </c>
    </row>
    <row r="136" spans="1:21">
      <c r="A136" t="s">
        <v>80</v>
      </c>
      <c r="B136" s="2">
        <v>45748</v>
      </c>
      <c r="C136" t="s">
        <v>27</v>
      </c>
      <c r="D136" t="s">
        <v>16</v>
      </c>
      <c r="E136">
        <v>47944.14</v>
      </c>
      <c r="F136">
        <v>6169</v>
      </c>
      <c r="G136">
        <v>0.11899999999999999</v>
      </c>
      <c r="H136">
        <v>17</v>
      </c>
      <c r="I136">
        <v>92.2</v>
      </c>
      <c r="J136">
        <v>3.02</v>
      </c>
      <c r="K136">
        <v>0</v>
      </c>
      <c r="L136">
        <v>4.0999999999999996</v>
      </c>
      <c r="M136">
        <v>670629.48</v>
      </c>
      <c r="N136">
        <v>100140.8</v>
      </c>
      <c r="O136">
        <f t="shared" si="14"/>
        <v>3.02</v>
      </c>
      <c r="P136">
        <f t="shared" si="15"/>
        <v>4.0999999999999996</v>
      </c>
      <c r="Q136">
        <f t="shared" si="16"/>
        <v>0</v>
      </c>
      <c r="R136">
        <f t="shared" si="17"/>
        <v>0</v>
      </c>
      <c r="S136">
        <f t="shared" si="18"/>
        <v>1</v>
      </c>
      <c r="T136" s="9">
        <f t="shared" si="19"/>
        <v>679612.56244814605</v>
      </c>
      <c r="U136" s="9">
        <f t="shared" si="20"/>
        <v>-8983.0824481460731</v>
      </c>
    </row>
    <row r="137" spans="1:21">
      <c r="A137" t="s">
        <v>70</v>
      </c>
      <c r="B137" s="2">
        <v>45689</v>
      </c>
      <c r="C137" t="s">
        <v>27</v>
      </c>
      <c r="D137" t="s">
        <v>16</v>
      </c>
      <c r="E137">
        <v>51133.43</v>
      </c>
      <c r="F137">
        <v>5150</v>
      </c>
      <c r="G137">
        <v>0.15</v>
      </c>
      <c r="H137">
        <v>12</v>
      </c>
      <c r="I137">
        <v>88.5</v>
      </c>
      <c r="J137">
        <v>1.54</v>
      </c>
      <c r="K137">
        <v>0</v>
      </c>
      <c r="L137">
        <v>3.2</v>
      </c>
      <c r="M137">
        <v>611924.27</v>
      </c>
      <c r="N137">
        <v>115488.75</v>
      </c>
      <c r="O137">
        <f t="shared" si="14"/>
        <v>1.54</v>
      </c>
      <c r="P137">
        <f t="shared" si="15"/>
        <v>3.2</v>
      </c>
      <c r="Q137">
        <f t="shared" si="16"/>
        <v>0</v>
      </c>
      <c r="R137">
        <f t="shared" si="17"/>
        <v>0</v>
      </c>
      <c r="S137">
        <f t="shared" si="18"/>
        <v>1</v>
      </c>
      <c r="T137" s="9">
        <f t="shared" si="19"/>
        <v>620885.13937173982</v>
      </c>
      <c r="U137" s="9">
        <f t="shared" si="20"/>
        <v>-8960.8693717397982</v>
      </c>
    </row>
    <row r="138" spans="1:21">
      <c r="A138" t="s">
        <v>26</v>
      </c>
      <c r="B138" s="2">
        <v>45717</v>
      </c>
      <c r="C138" t="s">
        <v>27</v>
      </c>
      <c r="D138" t="s">
        <v>28</v>
      </c>
      <c r="E138">
        <v>55270.52</v>
      </c>
      <c r="F138">
        <v>9315</v>
      </c>
      <c r="G138">
        <v>0.16900000000000001</v>
      </c>
      <c r="H138">
        <v>23</v>
      </c>
      <c r="I138">
        <v>91.9</v>
      </c>
      <c r="J138">
        <v>4.9400000000000004</v>
      </c>
      <c r="K138">
        <v>0</v>
      </c>
      <c r="L138">
        <v>4</v>
      </c>
      <c r="M138">
        <v>783672.82</v>
      </c>
      <c r="N138">
        <v>112577.14</v>
      </c>
      <c r="O138">
        <f t="shared" si="14"/>
        <v>4.9400000000000004</v>
      </c>
      <c r="P138">
        <f t="shared" si="15"/>
        <v>4</v>
      </c>
      <c r="Q138">
        <f t="shared" si="16"/>
        <v>0</v>
      </c>
      <c r="R138">
        <f t="shared" si="17"/>
        <v>0</v>
      </c>
      <c r="S138">
        <f t="shared" si="18"/>
        <v>1</v>
      </c>
      <c r="T138" s="9">
        <f t="shared" si="19"/>
        <v>792626.72105582478</v>
      </c>
      <c r="U138" s="9">
        <f t="shared" si="20"/>
        <v>-8953.9010558248265</v>
      </c>
    </row>
    <row r="139" spans="1:21">
      <c r="A139" t="s">
        <v>72</v>
      </c>
      <c r="B139" s="2">
        <v>45748</v>
      </c>
      <c r="C139" t="s">
        <v>15</v>
      </c>
      <c r="D139" t="s">
        <v>21</v>
      </c>
      <c r="E139">
        <v>64104.28</v>
      </c>
      <c r="F139">
        <v>6015</v>
      </c>
      <c r="G139">
        <v>0.127</v>
      </c>
      <c r="H139">
        <v>15</v>
      </c>
      <c r="I139">
        <v>88.7</v>
      </c>
      <c r="J139">
        <v>0.78</v>
      </c>
      <c r="K139">
        <v>0</v>
      </c>
      <c r="L139">
        <v>4</v>
      </c>
      <c r="M139">
        <v>650795.49</v>
      </c>
      <c r="N139">
        <v>103035.89</v>
      </c>
      <c r="O139">
        <f t="shared" si="14"/>
        <v>0.78</v>
      </c>
      <c r="P139">
        <f t="shared" si="15"/>
        <v>4</v>
      </c>
      <c r="Q139">
        <f t="shared" si="16"/>
        <v>0</v>
      </c>
      <c r="R139">
        <f t="shared" si="17"/>
        <v>0</v>
      </c>
      <c r="S139">
        <f t="shared" si="18"/>
        <v>0</v>
      </c>
      <c r="T139" s="9">
        <f t="shared" si="19"/>
        <v>659351.22737160802</v>
      </c>
      <c r="U139" s="9">
        <f t="shared" si="20"/>
        <v>-8555.7373716080328</v>
      </c>
    </row>
    <row r="140" spans="1:21">
      <c r="A140" t="s">
        <v>43</v>
      </c>
      <c r="B140" s="2">
        <v>45717</v>
      </c>
      <c r="C140" t="s">
        <v>27</v>
      </c>
      <c r="D140" t="s">
        <v>18</v>
      </c>
      <c r="E140">
        <v>78231.91</v>
      </c>
      <c r="F140">
        <v>3788</v>
      </c>
      <c r="G140">
        <v>5.8999999999999997E-2</v>
      </c>
      <c r="H140">
        <v>11</v>
      </c>
      <c r="I140">
        <v>88.5</v>
      </c>
      <c r="J140">
        <v>15.51</v>
      </c>
      <c r="K140">
        <v>0</v>
      </c>
      <c r="L140">
        <v>4.3</v>
      </c>
      <c r="M140">
        <v>614596.31999999995</v>
      </c>
      <c r="N140">
        <v>131199.41</v>
      </c>
      <c r="O140">
        <f t="shared" si="14"/>
        <v>15.51</v>
      </c>
      <c r="P140">
        <f t="shared" si="15"/>
        <v>4.3</v>
      </c>
      <c r="Q140">
        <f t="shared" si="16"/>
        <v>0</v>
      </c>
      <c r="R140">
        <f t="shared" si="17"/>
        <v>0</v>
      </c>
      <c r="S140">
        <f t="shared" si="18"/>
        <v>1</v>
      </c>
      <c r="T140" s="9">
        <f t="shared" si="19"/>
        <v>622743.32115840935</v>
      </c>
      <c r="U140" s="9">
        <f t="shared" si="20"/>
        <v>-8147.0011584094027</v>
      </c>
    </row>
    <row r="141" spans="1:21">
      <c r="A141" t="s">
        <v>67</v>
      </c>
      <c r="B141" s="2">
        <v>45748</v>
      </c>
      <c r="C141" t="s">
        <v>27</v>
      </c>
      <c r="D141" t="s">
        <v>16</v>
      </c>
      <c r="E141">
        <v>57948.88</v>
      </c>
      <c r="F141">
        <v>10741</v>
      </c>
      <c r="G141">
        <v>7.0000000000000007E-2</v>
      </c>
      <c r="H141">
        <v>25</v>
      </c>
      <c r="I141">
        <v>90.1</v>
      </c>
      <c r="J141">
        <v>4.03</v>
      </c>
      <c r="K141">
        <v>0</v>
      </c>
      <c r="L141">
        <v>3.1</v>
      </c>
      <c r="M141">
        <v>819660.59</v>
      </c>
      <c r="N141">
        <v>172699.95</v>
      </c>
      <c r="O141">
        <f t="shared" si="14"/>
        <v>4.03</v>
      </c>
      <c r="P141">
        <f t="shared" si="15"/>
        <v>3.1</v>
      </c>
      <c r="Q141">
        <f t="shared" si="16"/>
        <v>0</v>
      </c>
      <c r="R141">
        <f t="shared" si="17"/>
        <v>0</v>
      </c>
      <c r="S141">
        <f t="shared" si="18"/>
        <v>1</v>
      </c>
      <c r="T141" s="9">
        <f t="shared" si="19"/>
        <v>827452.26850966364</v>
      </c>
      <c r="U141" s="9">
        <f t="shared" si="20"/>
        <v>-7791.678509663674</v>
      </c>
    </row>
    <row r="142" spans="1:21">
      <c r="A142" t="s">
        <v>65</v>
      </c>
      <c r="B142" s="2">
        <v>45748</v>
      </c>
      <c r="C142" t="s">
        <v>15</v>
      </c>
      <c r="D142" t="s">
        <v>16</v>
      </c>
      <c r="E142">
        <v>63043.94</v>
      </c>
      <c r="F142">
        <v>10402</v>
      </c>
      <c r="G142">
        <v>0.159</v>
      </c>
      <c r="H142">
        <v>23</v>
      </c>
      <c r="I142">
        <v>93.9</v>
      </c>
      <c r="J142">
        <v>2.71</v>
      </c>
      <c r="K142">
        <v>0</v>
      </c>
      <c r="L142">
        <v>3.1</v>
      </c>
      <c r="M142">
        <v>804264</v>
      </c>
      <c r="N142">
        <v>167117.91</v>
      </c>
      <c r="O142">
        <f t="shared" si="14"/>
        <v>2.71</v>
      </c>
      <c r="P142">
        <f t="shared" si="15"/>
        <v>3.1</v>
      </c>
      <c r="Q142">
        <f t="shared" si="16"/>
        <v>0</v>
      </c>
      <c r="R142">
        <f t="shared" si="17"/>
        <v>0</v>
      </c>
      <c r="S142">
        <f t="shared" si="18"/>
        <v>0</v>
      </c>
      <c r="T142" s="9">
        <f t="shared" si="19"/>
        <v>811218.0142760888</v>
      </c>
      <c r="U142" s="9">
        <f t="shared" si="20"/>
        <v>-6954.0142760887975</v>
      </c>
    </row>
    <row r="143" spans="1:21">
      <c r="A143" t="s">
        <v>30</v>
      </c>
      <c r="B143" s="2">
        <v>45717</v>
      </c>
      <c r="C143" t="s">
        <v>20</v>
      </c>
      <c r="D143" t="s">
        <v>16</v>
      </c>
      <c r="E143">
        <v>74413.88</v>
      </c>
      <c r="F143">
        <v>9449</v>
      </c>
      <c r="G143">
        <v>3.9E-2</v>
      </c>
      <c r="H143">
        <v>23</v>
      </c>
      <c r="I143">
        <v>92.1</v>
      </c>
      <c r="J143">
        <v>2.12</v>
      </c>
      <c r="K143">
        <v>0</v>
      </c>
      <c r="L143">
        <v>3.5</v>
      </c>
      <c r="M143">
        <v>798952.17</v>
      </c>
      <c r="N143">
        <v>161499.04</v>
      </c>
      <c r="O143">
        <f t="shared" si="14"/>
        <v>2.12</v>
      </c>
      <c r="P143">
        <f t="shared" si="15"/>
        <v>3.5</v>
      </c>
      <c r="Q143">
        <f t="shared" si="16"/>
        <v>1</v>
      </c>
      <c r="R143">
        <f t="shared" si="17"/>
        <v>0</v>
      </c>
      <c r="S143">
        <f t="shared" si="18"/>
        <v>0</v>
      </c>
      <c r="T143" s="9">
        <f t="shared" si="19"/>
        <v>805639.44119471358</v>
      </c>
      <c r="U143" s="9">
        <f t="shared" si="20"/>
        <v>-6687.2711947135394</v>
      </c>
    </row>
    <row r="144" spans="1:21">
      <c r="A144" t="s">
        <v>61</v>
      </c>
      <c r="B144" s="2">
        <v>45658</v>
      </c>
      <c r="C144" t="s">
        <v>20</v>
      </c>
      <c r="D144" t="s">
        <v>28</v>
      </c>
      <c r="E144">
        <v>86883.31</v>
      </c>
      <c r="F144">
        <v>6424</v>
      </c>
      <c r="G144">
        <v>5.7000000000000002E-2</v>
      </c>
      <c r="H144">
        <v>19</v>
      </c>
      <c r="I144">
        <v>85.2</v>
      </c>
      <c r="J144">
        <v>3.08</v>
      </c>
      <c r="K144">
        <v>0</v>
      </c>
      <c r="L144">
        <v>3.9</v>
      </c>
      <c r="M144">
        <v>700078.32</v>
      </c>
      <c r="N144">
        <v>123707.58</v>
      </c>
      <c r="O144">
        <f t="shared" si="14"/>
        <v>3.08</v>
      </c>
      <c r="P144">
        <f t="shared" si="15"/>
        <v>3.9</v>
      </c>
      <c r="Q144">
        <f t="shared" si="16"/>
        <v>1</v>
      </c>
      <c r="R144">
        <f t="shared" si="17"/>
        <v>0</v>
      </c>
      <c r="S144">
        <f t="shared" si="18"/>
        <v>0</v>
      </c>
      <c r="T144" s="9">
        <f t="shared" si="19"/>
        <v>706760.80183804955</v>
      </c>
      <c r="U144" s="9">
        <f t="shared" si="20"/>
        <v>-6682.4818380495999</v>
      </c>
    </row>
    <row r="145" spans="1:21">
      <c r="A145" t="s">
        <v>81</v>
      </c>
      <c r="B145" s="2">
        <v>45689</v>
      </c>
      <c r="C145" t="s">
        <v>27</v>
      </c>
      <c r="D145" t="s">
        <v>28</v>
      </c>
      <c r="E145">
        <v>72961.95</v>
      </c>
      <c r="F145">
        <v>9996</v>
      </c>
      <c r="G145">
        <v>0.106</v>
      </c>
      <c r="H145">
        <v>22</v>
      </c>
      <c r="I145">
        <v>89.1</v>
      </c>
      <c r="J145">
        <v>15.66</v>
      </c>
      <c r="K145">
        <v>0</v>
      </c>
      <c r="L145">
        <v>3.4</v>
      </c>
      <c r="M145">
        <v>810355.02</v>
      </c>
      <c r="N145">
        <v>131510</v>
      </c>
      <c r="O145">
        <f t="shared" si="14"/>
        <v>15.66</v>
      </c>
      <c r="P145">
        <f t="shared" si="15"/>
        <v>3.4</v>
      </c>
      <c r="Q145">
        <f t="shared" si="16"/>
        <v>0</v>
      </c>
      <c r="R145">
        <f t="shared" si="17"/>
        <v>0</v>
      </c>
      <c r="S145">
        <f t="shared" si="18"/>
        <v>1</v>
      </c>
      <c r="T145" s="9">
        <f t="shared" si="19"/>
        <v>816293.7476683727</v>
      </c>
      <c r="U145" s="9">
        <f t="shared" si="20"/>
        <v>-5938.7276683726814</v>
      </c>
    </row>
    <row r="146" spans="1:21">
      <c r="A146" t="s">
        <v>81</v>
      </c>
      <c r="B146" s="2">
        <v>45717</v>
      </c>
      <c r="C146" t="s">
        <v>27</v>
      </c>
      <c r="D146" t="s">
        <v>28</v>
      </c>
      <c r="E146">
        <v>59060.05</v>
      </c>
      <c r="F146">
        <v>9702</v>
      </c>
      <c r="G146">
        <v>0.20100000000000001</v>
      </c>
      <c r="H146">
        <v>23</v>
      </c>
      <c r="I146">
        <v>80.900000000000006</v>
      </c>
      <c r="J146">
        <v>6.96</v>
      </c>
      <c r="K146">
        <v>0</v>
      </c>
      <c r="L146">
        <v>3.2</v>
      </c>
      <c r="M146">
        <v>761919.25</v>
      </c>
      <c r="N146">
        <v>111893.06</v>
      </c>
      <c r="O146">
        <f t="shared" si="14"/>
        <v>6.96</v>
      </c>
      <c r="P146">
        <f t="shared" si="15"/>
        <v>3.2</v>
      </c>
      <c r="Q146">
        <f t="shared" si="16"/>
        <v>0</v>
      </c>
      <c r="R146">
        <f t="shared" si="17"/>
        <v>0</v>
      </c>
      <c r="S146">
        <f t="shared" si="18"/>
        <v>1</v>
      </c>
      <c r="T146" s="9">
        <f t="shared" si="19"/>
        <v>767581.51166187925</v>
      </c>
      <c r="U146" s="9">
        <f t="shared" si="20"/>
        <v>-5662.2616618792526</v>
      </c>
    </row>
    <row r="147" spans="1:21">
      <c r="A147" t="s">
        <v>80</v>
      </c>
      <c r="B147" s="2">
        <v>45717</v>
      </c>
      <c r="C147" t="s">
        <v>27</v>
      </c>
      <c r="D147" t="s">
        <v>16</v>
      </c>
      <c r="E147">
        <v>62582.71</v>
      </c>
      <c r="F147">
        <v>5479</v>
      </c>
      <c r="G147">
        <v>4.8000000000000001E-2</v>
      </c>
      <c r="H147">
        <v>16</v>
      </c>
      <c r="I147">
        <v>81.2</v>
      </c>
      <c r="J147">
        <v>1.46</v>
      </c>
      <c r="K147">
        <v>0</v>
      </c>
      <c r="L147">
        <v>4.5</v>
      </c>
      <c r="M147">
        <v>640666.53</v>
      </c>
      <c r="N147">
        <v>134919.16</v>
      </c>
      <c r="O147">
        <f t="shared" si="14"/>
        <v>1.46</v>
      </c>
      <c r="P147">
        <f t="shared" si="15"/>
        <v>4.5</v>
      </c>
      <c r="Q147">
        <f t="shared" si="16"/>
        <v>0</v>
      </c>
      <c r="R147">
        <f t="shared" si="17"/>
        <v>0</v>
      </c>
      <c r="S147">
        <f t="shared" si="18"/>
        <v>1</v>
      </c>
      <c r="T147" s="9">
        <f t="shared" si="19"/>
        <v>646318.82060099812</v>
      </c>
      <c r="U147" s="9">
        <f t="shared" si="20"/>
        <v>-5652.2906009980943</v>
      </c>
    </row>
    <row r="148" spans="1:21">
      <c r="A148" t="s">
        <v>75</v>
      </c>
      <c r="B148" s="2">
        <v>45748</v>
      </c>
      <c r="C148" t="s">
        <v>27</v>
      </c>
      <c r="D148" t="s">
        <v>16</v>
      </c>
      <c r="E148">
        <v>47391.09</v>
      </c>
      <c r="F148">
        <v>11224</v>
      </c>
      <c r="G148">
        <v>0.14699999999999999</v>
      </c>
      <c r="H148">
        <v>25</v>
      </c>
      <c r="I148">
        <v>88.4</v>
      </c>
      <c r="J148">
        <v>2.44</v>
      </c>
      <c r="K148">
        <v>0</v>
      </c>
      <c r="L148">
        <v>4.9000000000000004</v>
      </c>
      <c r="M148">
        <v>836908.24</v>
      </c>
      <c r="N148">
        <v>141090.26</v>
      </c>
      <c r="O148">
        <f t="shared" si="14"/>
        <v>2.44</v>
      </c>
      <c r="P148">
        <f t="shared" si="15"/>
        <v>4.9000000000000004</v>
      </c>
      <c r="Q148">
        <f t="shared" si="16"/>
        <v>0</v>
      </c>
      <c r="R148">
        <f t="shared" si="17"/>
        <v>0</v>
      </c>
      <c r="S148">
        <f t="shared" si="18"/>
        <v>1</v>
      </c>
      <c r="T148" s="9">
        <f t="shared" si="19"/>
        <v>842487.13167430868</v>
      </c>
      <c r="U148" s="9">
        <f t="shared" si="20"/>
        <v>-5578.8916743086884</v>
      </c>
    </row>
    <row r="149" spans="1:21">
      <c r="A149" t="s">
        <v>67</v>
      </c>
      <c r="B149" s="2">
        <v>45689</v>
      </c>
      <c r="C149" t="s">
        <v>27</v>
      </c>
      <c r="D149" t="s">
        <v>16</v>
      </c>
      <c r="E149">
        <v>45209.25</v>
      </c>
      <c r="F149">
        <v>9287</v>
      </c>
      <c r="G149">
        <v>0.14099999999999999</v>
      </c>
      <c r="H149">
        <v>22</v>
      </c>
      <c r="I149">
        <v>86.4</v>
      </c>
      <c r="J149">
        <v>13.22</v>
      </c>
      <c r="K149">
        <v>0</v>
      </c>
      <c r="L149">
        <v>3.6</v>
      </c>
      <c r="M149">
        <v>751393.88</v>
      </c>
      <c r="N149">
        <v>91480.320000000007</v>
      </c>
      <c r="O149">
        <f t="shared" si="14"/>
        <v>13.22</v>
      </c>
      <c r="P149">
        <f t="shared" si="15"/>
        <v>3.6</v>
      </c>
      <c r="Q149">
        <f t="shared" si="16"/>
        <v>0</v>
      </c>
      <c r="R149">
        <f t="shared" si="17"/>
        <v>0</v>
      </c>
      <c r="S149">
        <f t="shared" si="18"/>
        <v>1</v>
      </c>
      <c r="T149" s="9">
        <f t="shared" si="19"/>
        <v>756889.0688930105</v>
      </c>
      <c r="U149" s="9">
        <f t="shared" si="20"/>
        <v>-5495.1888930104906</v>
      </c>
    </row>
    <row r="150" spans="1:21">
      <c r="A150" t="s">
        <v>31</v>
      </c>
      <c r="B150" s="2">
        <v>45717</v>
      </c>
      <c r="C150" t="s">
        <v>20</v>
      </c>
      <c r="D150" t="s">
        <v>28</v>
      </c>
      <c r="E150">
        <v>93381.26</v>
      </c>
      <c r="F150">
        <v>7562</v>
      </c>
      <c r="G150">
        <v>0.19800000000000001</v>
      </c>
      <c r="H150">
        <v>19</v>
      </c>
      <c r="I150">
        <v>82.9</v>
      </c>
      <c r="J150">
        <v>5.05</v>
      </c>
      <c r="K150">
        <v>0</v>
      </c>
      <c r="L150">
        <v>4</v>
      </c>
      <c r="M150">
        <v>736633.4</v>
      </c>
      <c r="N150">
        <v>115654.66</v>
      </c>
      <c r="O150">
        <f t="shared" si="14"/>
        <v>5.05</v>
      </c>
      <c r="P150">
        <f t="shared" si="15"/>
        <v>4</v>
      </c>
      <c r="Q150">
        <f t="shared" si="16"/>
        <v>1</v>
      </c>
      <c r="R150">
        <f t="shared" si="17"/>
        <v>0</v>
      </c>
      <c r="S150">
        <f t="shared" si="18"/>
        <v>0</v>
      </c>
      <c r="T150" s="9">
        <f t="shared" si="19"/>
        <v>741590.2213001583</v>
      </c>
      <c r="U150" s="9">
        <f t="shared" si="20"/>
        <v>-4956.8213001582772</v>
      </c>
    </row>
    <row r="151" spans="1:21">
      <c r="A151" t="s">
        <v>25</v>
      </c>
      <c r="B151" s="2">
        <v>45717</v>
      </c>
      <c r="C151" t="s">
        <v>20</v>
      </c>
      <c r="D151" t="s">
        <v>16</v>
      </c>
      <c r="E151">
        <v>42267.37</v>
      </c>
      <c r="F151">
        <v>3364</v>
      </c>
      <c r="G151">
        <v>0.16</v>
      </c>
      <c r="H151">
        <v>13</v>
      </c>
      <c r="I151">
        <v>82</v>
      </c>
      <c r="J151">
        <v>1.61</v>
      </c>
      <c r="K151">
        <v>1</v>
      </c>
      <c r="L151">
        <v>4.5999999999999996</v>
      </c>
      <c r="M151">
        <v>555929.4</v>
      </c>
      <c r="N151">
        <v>115201.76</v>
      </c>
      <c r="O151">
        <f t="shared" si="14"/>
        <v>1.61</v>
      </c>
      <c r="P151">
        <f t="shared" si="15"/>
        <v>4.5999999999999996</v>
      </c>
      <c r="Q151">
        <f t="shared" si="16"/>
        <v>1</v>
      </c>
      <c r="R151">
        <f t="shared" si="17"/>
        <v>0</v>
      </c>
      <c r="S151">
        <f t="shared" si="18"/>
        <v>0</v>
      </c>
      <c r="T151" s="9">
        <f t="shared" si="19"/>
        <v>560589.28043460881</v>
      </c>
      <c r="U151" s="9">
        <f t="shared" si="20"/>
        <v>-4659.8804346087854</v>
      </c>
    </row>
    <row r="152" spans="1:21">
      <c r="A152" t="s">
        <v>87</v>
      </c>
      <c r="B152" s="2">
        <v>45689</v>
      </c>
      <c r="C152" t="s">
        <v>27</v>
      </c>
      <c r="D152" t="s">
        <v>18</v>
      </c>
      <c r="E152">
        <v>43288.2</v>
      </c>
      <c r="F152">
        <v>4783</v>
      </c>
      <c r="G152">
        <v>0.16900000000000001</v>
      </c>
      <c r="H152">
        <v>13</v>
      </c>
      <c r="I152">
        <v>87.3</v>
      </c>
      <c r="K152">
        <v>0</v>
      </c>
      <c r="L152">
        <v>4.2</v>
      </c>
      <c r="M152">
        <v>605751.32999999996</v>
      </c>
      <c r="N152">
        <v>60685.53</v>
      </c>
      <c r="O152">
        <f t="shared" si="14"/>
        <v>0</v>
      </c>
      <c r="P152">
        <f t="shared" si="15"/>
        <v>4.2</v>
      </c>
      <c r="Q152">
        <f t="shared" si="16"/>
        <v>0</v>
      </c>
      <c r="R152">
        <f t="shared" si="17"/>
        <v>0</v>
      </c>
      <c r="S152">
        <f t="shared" si="18"/>
        <v>1</v>
      </c>
      <c r="T152" s="9">
        <f t="shared" si="19"/>
        <v>610376.92988354515</v>
      </c>
      <c r="U152" s="9">
        <f t="shared" si="20"/>
        <v>-4625.5998835451901</v>
      </c>
    </row>
    <row r="153" spans="1:21">
      <c r="A153" t="s">
        <v>58</v>
      </c>
      <c r="B153" s="2">
        <v>45748</v>
      </c>
      <c r="C153" t="s">
        <v>20</v>
      </c>
      <c r="D153" t="s">
        <v>16</v>
      </c>
      <c r="E153">
        <v>60322.400000000001</v>
      </c>
      <c r="F153">
        <v>3350</v>
      </c>
      <c r="G153">
        <v>0.108</v>
      </c>
      <c r="H153">
        <v>12</v>
      </c>
      <c r="I153">
        <v>89.4</v>
      </c>
      <c r="J153">
        <v>4.92</v>
      </c>
      <c r="K153">
        <v>0</v>
      </c>
      <c r="L153">
        <v>3.4</v>
      </c>
      <c r="M153">
        <v>570964.84</v>
      </c>
      <c r="N153">
        <v>81331.070000000007</v>
      </c>
      <c r="O153">
        <f t="shared" si="14"/>
        <v>4.92</v>
      </c>
      <c r="P153">
        <f t="shared" si="15"/>
        <v>3.4</v>
      </c>
      <c r="Q153">
        <f t="shared" si="16"/>
        <v>1</v>
      </c>
      <c r="R153">
        <f t="shared" si="17"/>
        <v>0</v>
      </c>
      <c r="S153">
        <f t="shared" si="18"/>
        <v>0</v>
      </c>
      <c r="T153" s="9">
        <f t="shared" si="19"/>
        <v>575583.60868972633</v>
      </c>
      <c r="U153" s="9">
        <f t="shared" si="20"/>
        <v>-4618.7686897263629</v>
      </c>
    </row>
    <row r="154" spans="1:21">
      <c r="A154" t="s">
        <v>36</v>
      </c>
      <c r="B154" s="2">
        <v>45689</v>
      </c>
      <c r="C154" t="s">
        <v>15</v>
      </c>
      <c r="D154" t="s">
        <v>21</v>
      </c>
      <c r="E154">
        <v>59405.68</v>
      </c>
      <c r="F154">
        <v>2515</v>
      </c>
      <c r="G154">
        <v>3.9E-2</v>
      </c>
      <c r="H154">
        <v>12</v>
      </c>
      <c r="I154">
        <v>76</v>
      </c>
      <c r="J154">
        <v>5.1100000000000003</v>
      </c>
      <c r="K154">
        <v>0</v>
      </c>
      <c r="L154">
        <v>3.7</v>
      </c>
      <c r="M154">
        <v>500298.48</v>
      </c>
      <c r="N154">
        <v>73461.320000000007</v>
      </c>
      <c r="O154">
        <f t="shared" si="14"/>
        <v>5.1100000000000003</v>
      </c>
      <c r="P154">
        <f t="shared" si="15"/>
        <v>3.7</v>
      </c>
      <c r="Q154">
        <f t="shared" si="16"/>
        <v>0</v>
      </c>
      <c r="R154">
        <f t="shared" si="17"/>
        <v>0</v>
      </c>
      <c r="S154">
        <f t="shared" si="18"/>
        <v>0</v>
      </c>
      <c r="T154" s="9">
        <f t="shared" si="19"/>
        <v>504526.25458982855</v>
      </c>
      <c r="U154" s="9">
        <f t="shared" si="20"/>
        <v>-4227.7745898285648</v>
      </c>
    </row>
    <row r="155" spans="1:21">
      <c r="A155" t="s">
        <v>73</v>
      </c>
      <c r="B155" s="2">
        <v>45658</v>
      </c>
      <c r="C155" t="s">
        <v>15</v>
      </c>
      <c r="D155" t="s">
        <v>28</v>
      </c>
      <c r="E155">
        <v>92090.14</v>
      </c>
      <c r="F155">
        <v>9476</v>
      </c>
      <c r="G155">
        <v>7.0000000000000007E-2</v>
      </c>
      <c r="H155">
        <v>24</v>
      </c>
      <c r="I155">
        <v>94.3</v>
      </c>
      <c r="J155">
        <v>0.87</v>
      </c>
      <c r="K155">
        <v>0</v>
      </c>
      <c r="L155">
        <v>3.7</v>
      </c>
      <c r="M155">
        <v>825060.52</v>
      </c>
      <c r="N155">
        <v>143613.15</v>
      </c>
      <c r="O155">
        <f t="shared" si="14"/>
        <v>0.87</v>
      </c>
      <c r="P155">
        <f t="shared" si="15"/>
        <v>3.7</v>
      </c>
      <c r="Q155">
        <f t="shared" si="16"/>
        <v>0</v>
      </c>
      <c r="R155">
        <f t="shared" si="17"/>
        <v>0</v>
      </c>
      <c r="S155">
        <f t="shared" si="18"/>
        <v>0</v>
      </c>
      <c r="T155" s="9">
        <f t="shared" si="19"/>
        <v>829113.12149664201</v>
      </c>
      <c r="U155" s="9">
        <f t="shared" si="20"/>
        <v>-4052.6014966419898</v>
      </c>
    </row>
    <row r="156" spans="1:21">
      <c r="A156" t="s">
        <v>91</v>
      </c>
      <c r="B156" s="2">
        <v>45717</v>
      </c>
      <c r="C156" t="s">
        <v>24</v>
      </c>
      <c r="D156" t="s">
        <v>16</v>
      </c>
      <c r="E156">
        <v>48609.41</v>
      </c>
      <c r="F156">
        <v>9324</v>
      </c>
      <c r="G156">
        <v>0.21299999999999999</v>
      </c>
      <c r="H156">
        <v>18</v>
      </c>
      <c r="I156">
        <v>86.5</v>
      </c>
      <c r="J156">
        <v>1.44</v>
      </c>
      <c r="K156">
        <v>0</v>
      </c>
      <c r="L156">
        <v>3.9</v>
      </c>
      <c r="M156">
        <v>756619.77</v>
      </c>
      <c r="N156">
        <v>112057.69</v>
      </c>
      <c r="O156">
        <f t="shared" si="14"/>
        <v>1.44</v>
      </c>
      <c r="P156">
        <f t="shared" si="15"/>
        <v>3.9</v>
      </c>
      <c r="Q156">
        <f t="shared" si="16"/>
        <v>0</v>
      </c>
      <c r="R156">
        <f t="shared" si="17"/>
        <v>1</v>
      </c>
      <c r="S156">
        <f t="shared" si="18"/>
        <v>0</v>
      </c>
      <c r="T156" s="9">
        <f t="shared" si="19"/>
        <v>760298.00881164428</v>
      </c>
      <c r="U156" s="9">
        <f t="shared" si="20"/>
        <v>-3678.2388116442598</v>
      </c>
    </row>
    <row r="157" spans="1:21">
      <c r="A157" t="s">
        <v>76</v>
      </c>
      <c r="B157" s="2">
        <v>45689</v>
      </c>
      <c r="C157" t="s">
        <v>20</v>
      </c>
      <c r="D157" t="s">
        <v>21</v>
      </c>
      <c r="E157">
        <v>33987.33</v>
      </c>
      <c r="F157">
        <v>5014</v>
      </c>
      <c r="G157">
        <v>0.246</v>
      </c>
      <c r="H157">
        <v>17</v>
      </c>
      <c r="I157">
        <v>94.3</v>
      </c>
      <c r="J157">
        <v>10.34</v>
      </c>
      <c r="K157">
        <v>0</v>
      </c>
      <c r="L157">
        <v>3.9</v>
      </c>
      <c r="M157">
        <v>622892.42000000004</v>
      </c>
      <c r="N157">
        <v>101032.52</v>
      </c>
      <c r="O157">
        <f t="shared" si="14"/>
        <v>10.34</v>
      </c>
      <c r="P157">
        <f t="shared" si="15"/>
        <v>3.9</v>
      </c>
      <c r="Q157">
        <f t="shared" si="16"/>
        <v>1</v>
      </c>
      <c r="R157">
        <f t="shared" si="17"/>
        <v>0</v>
      </c>
      <c r="S157">
        <f t="shared" si="18"/>
        <v>0</v>
      </c>
      <c r="T157" s="9">
        <f t="shared" si="19"/>
        <v>624712.12856770528</v>
      </c>
      <c r="U157" s="9">
        <f t="shared" si="20"/>
        <v>-1819.7085677052382</v>
      </c>
    </row>
    <row r="158" spans="1:21">
      <c r="A158" t="s">
        <v>94</v>
      </c>
      <c r="B158" s="2">
        <v>45748</v>
      </c>
      <c r="C158" t="s">
        <v>15</v>
      </c>
      <c r="D158" t="s">
        <v>16</v>
      </c>
      <c r="E158">
        <v>54080.91</v>
      </c>
      <c r="F158">
        <v>7083</v>
      </c>
      <c r="G158">
        <v>0</v>
      </c>
      <c r="H158">
        <v>15</v>
      </c>
      <c r="I158">
        <v>97</v>
      </c>
      <c r="J158">
        <v>5.33</v>
      </c>
      <c r="K158">
        <v>0</v>
      </c>
      <c r="L158">
        <v>4.0999999999999996</v>
      </c>
      <c r="M158">
        <v>702068.92</v>
      </c>
      <c r="N158">
        <v>111266.63</v>
      </c>
      <c r="O158">
        <f t="shared" si="14"/>
        <v>5.33</v>
      </c>
      <c r="P158">
        <f t="shared" si="15"/>
        <v>4.0999999999999996</v>
      </c>
      <c r="Q158">
        <f t="shared" si="16"/>
        <v>0</v>
      </c>
      <c r="R158">
        <f t="shared" si="17"/>
        <v>0</v>
      </c>
      <c r="S158">
        <f t="shared" si="18"/>
        <v>0</v>
      </c>
      <c r="T158" s="9">
        <f t="shared" si="19"/>
        <v>703707.95539582334</v>
      </c>
      <c r="U158" s="9">
        <f t="shared" si="20"/>
        <v>-1639.0353958233027</v>
      </c>
    </row>
    <row r="159" spans="1:21">
      <c r="A159" t="s">
        <v>49</v>
      </c>
      <c r="B159" s="2">
        <v>45717</v>
      </c>
      <c r="C159" t="s">
        <v>15</v>
      </c>
      <c r="D159" t="s">
        <v>28</v>
      </c>
      <c r="E159">
        <v>51056.15</v>
      </c>
      <c r="F159">
        <v>5686</v>
      </c>
      <c r="G159">
        <v>8.8999999999999996E-2</v>
      </c>
      <c r="H159">
        <v>13</v>
      </c>
      <c r="I159">
        <v>89.9</v>
      </c>
      <c r="J159">
        <v>1.28</v>
      </c>
      <c r="K159">
        <v>0</v>
      </c>
      <c r="L159">
        <v>4.2</v>
      </c>
      <c r="M159">
        <v>633494.21</v>
      </c>
      <c r="N159">
        <v>105739.47</v>
      </c>
      <c r="O159">
        <f t="shared" si="14"/>
        <v>1.28</v>
      </c>
      <c r="P159">
        <f t="shared" si="15"/>
        <v>4.2</v>
      </c>
      <c r="Q159">
        <f t="shared" si="16"/>
        <v>0</v>
      </c>
      <c r="R159">
        <f t="shared" si="17"/>
        <v>0</v>
      </c>
      <c r="S159">
        <f t="shared" si="18"/>
        <v>0</v>
      </c>
      <c r="T159" s="9">
        <f t="shared" si="19"/>
        <v>634770.27411697386</v>
      </c>
      <c r="U159" s="9">
        <f t="shared" si="20"/>
        <v>-1276.0641169738956</v>
      </c>
    </row>
    <row r="160" spans="1:21">
      <c r="A160" t="s">
        <v>33</v>
      </c>
      <c r="B160" s="2">
        <v>45748</v>
      </c>
      <c r="C160" t="s">
        <v>27</v>
      </c>
      <c r="D160" t="s">
        <v>16</v>
      </c>
      <c r="E160">
        <v>42093.84</v>
      </c>
      <c r="F160">
        <v>4074</v>
      </c>
      <c r="G160">
        <v>0.155</v>
      </c>
      <c r="H160">
        <v>15</v>
      </c>
      <c r="I160">
        <v>88</v>
      </c>
      <c r="J160">
        <v>9.64</v>
      </c>
      <c r="K160">
        <v>0</v>
      </c>
      <c r="L160">
        <v>3.3</v>
      </c>
      <c r="M160">
        <v>585365.73</v>
      </c>
      <c r="N160">
        <v>81011.520000000004</v>
      </c>
      <c r="O160">
        <f t="shared" si="14"/>
        <v>9.64</v>
      </c>
      <c r="P160">
        <f t="shared" si="15"/>
        <v>3.3</v>
      </c>
      <c r="Q160">
        <f t="shared" si="16"/>
        <v>0</v>
      </c>
      <c r="R160">
        <f t="shared" si="17"/>
        <v>0</v>
      </c>
      <c r="S160">
        <f t="shared" si="18"/>
        <v>1</v>
      </c>
      <c r="T160" s="9">
        <f t="shared" si="19"/>
        <v>586372.45868707029</v>
      </c>
      <c r="U160" s="9">
        <f t="shared" si="20"/>
        <v>-1006.7286870703101</v>
      </c>
    </row>
    <row r="161" spans="1:21">
      <c r="A161" t="s">
        <v>19</v>
      </c>
      <c r="B161" s="2">
        <v>45689</v>
      </c>
      <c r="C161" t="s">
        <v>20</v>
      </c>
      <c r="D161" t="s">
        <v>21</v>
      </c>
      <c r="E161">
        <v>68133.440000000002</v>
      </c>
      <c r="F161">
        <v>9459</v>
      </c>
      <c r="G161">
        <v>0.22</v>
      </c>
      <c r="H161">
        <v>21</v>
      </c>
      <c r="I161">
        <v>85</v>
      </c>
      <c r="J161">
        <v>1.91</v>
      </c>
      <c r="K161">
        <v>0</v>
      </c>
      <c r="L161">
        <v>4.2</v>
      </c>
      <c r="M161">
        <v>779010.94</v>
      </c>
      <c r="N161">
        <v>106328.09</v>
      </c>
      <c r="O161">
        <f t="shared" si="14"/>
        <v>1.91</v>
      </c>
      <c r="P161">
        <f t="shared" si="15"/>
        <v>4.2</v>
      </c>
      <c r="Q161">
        <f t="shared" si="16"/>
        <v>1</v>
      </c>
      <c r="R161">
        <f t="shared" si="17"/>
        <v>0</v>
      </c>
      <c r="S161">
        <f t="shared" si="18"/>
        <v>0</v>
      </c>
      <c r="T161" s="9">
        <f t="shared" si="19"/>
        <v>779636.80753797584</v>
      </c>
      <c r="U161" s="9">
        <f t="shared" si="20"/>
        <v>-625.86753797589336</v>
      </c>
    </row>
    <row r="162" spans="1:21">
      <c r="A162" t="s">
        <v>89</v>
      </c>
      <c r="B162" s="2">
        <v>45717</v>
      </c>
      <c r="C162" t="s">
        <v>15</v>
      </c>
      <c r="D162" t="s">
        <v>28</v>
      </c>
      <c r="E162">
        <v>61995.3</v>
      </c>
      <c r="F162">
        <v>10192</v>
      </c>
      <c r="G162">
        <v>0.19800000000000001</v>
      </c>
      <c r="H162">
        <v>21</v>
      </c>
      <c r="I162">
        <v>87.6</v>
      </c>
      <c r="J162">
        <v>3.63</v>
      </c>
      <c r="K162">
        <v>1</v>
      </c>
      <c r="L162">
        <v>3.8</v>
      </c>
      <c r="M162">
        <v>799756.46</v>
      </c>
      <c r="N162">
        <v>105052.93</v>
      </c>
      <c r="O162">
        <f t="shared" si="14"/>
        <v>3.63</v>
      </c>
      <c r="P162">
        <f t="shared" si="15"/>
        <v>3.8</v>
      </c>
      <c r="Q162">
        <f t="shared" si="16"/>
        <v>0</v>
      </c>
      <c r="R162">
        <f t="shared" si="17"/>
        <v>0</v>
      </c>
      <c r="S162">
        <f t="shared" si="18"/>
        <v>0</v>
      </c>
      <c r="T162" s="9">
        <f t="shared" si="19"/>
        <v>800347.62211738573</v>
      </c>
      <c r="U162" s="9">
        <f t="shared" si="20"/>
        <v>-591.16211738577113</v>
      </c>
    </row>
    <row r="163" spans="1:21">
      <c r="A163" t="s">
        <v>100</v>
      </c>
      <c r="B163" s="2">
        <v>45689</v>
      </c>
      <c r="C163" t="s">
        <v>20</v>
      </c>
      <c r="D163" t="s">
        <v>16</v>
      </c>
      <c r="E163">
        <v>46767.99</v>
      </c>
      <c r="F163">
        <v>7973</v>
      </c>
      <c r="G163">
        <v>0.183</v>
      </c>
      <c r="H163">
        <v>18</v>
      </c>
      <c r="I163">
        <v>94.8</v>
      </c>
      <c r="J163">
        <v>4.67</v>
      </c>
      <c r="K163">
        <v>0</v>
      </c>
      <c r="M163">
        <v>688368.46</v>
      </c>
      <c r="N163">
        <v>93588.42</v>
      </c>
      <c r="O163">
        <f t="shared" si="14"/>
        <v>4.67</v>
      </c>
      <c r="P163">
        <f t="shared" si="15"/>
        <v>0</v>
      </c>
      <c r="Q163">
        <f t="shared" si="16"/>
        <v>1</v>
      </c>
      <c r="R163">
        <f t="shared" si="17"/>
        <v>0</v>
      </c>
      <c r="S163">
        <f t="shared" si="18"/>
        <v>0</v>
      </c>
      <c r="T163" s="9">
        <f t="shared" si="19"/>
        <v>688836.47551965213</v>
      </c>
      <c r="U163" s="9">
        <f t="shared" si="20"/>
        <v>-468.0155196521664</v>
      </c>
    </row>
    <row r="164" spans="1:21">
      <c r="A164" t="s">
        <v>83</v>
      </c>
      <c r="B164" s="2">
        <v>45748</v>
      </c>
      <c r="C164" t="s">
        <v>15</v>
      </c>
      <c r="D164" t="s">
        <v>18</v>
      </c>
      <c r="E164">
        <v>21536.18</v>
      </c>
      <c r="F164">
        <v>8119</v>
      </c>
      <c r="G164">
        <v>0.22700000000000001</v>
      </c>
      <c r="H164">
        <v>20</v>
      </c>
      <c r="I164">
        <v>90.4</v>
      </c>
      <c r="J164">
        <v>1.7</v>
      </c>
      <c r="K164">
        <v>0</v>
      </c>
      <c r="L164">
        <v>3.3</v>
      </c>
      <c r="M164">
        <v>679888.74</v>
      </c>
      <c r="N164">
        <v>83406.89</v>
      </c>
      <c r="O164">
        <f t="shared" si="14"/>
        <v>1.7</v>
      </c>
      <c r="P164">
        <f t="shared" si="15"/>
        <v>3.3</v>
      </c>
      <c r="Q164">
        <f t="shared" si="16"/>
        <v>0</v>
      </c>
      <c r="R164">
        <f t="shared" si="17"/>
        <v>0</v>
      </c>
      <c r="S164">
        <f t="shared" si="18"/>
        <v>0</v>
      </c>
      <c r="T164" s="9">
        <f t="shared" si="19"/>
        <v>679931.27271288156</v>
      </c>
      <c r="U164" s="9">
        <f t="shared" si="20"/>
        <v>-42.532712881569751</v>
      </c>
    </row>
    <row r="165" spans="1:21">
      <c r="A165" t="s">
        <v>86</v>
      </c>
      <c r="B165" s="2">
        <v>45717</v>
      </c>
      <c r="C165" t="s">
        <v>24</v>
      </c>
      <c r="D165" t="s">
        <v>28</v>
      </c>
      <c r="E165">
        <v>44189.34</v>
      </c>
      <c r="F165">
        <v>8634</v>
      </c>
      <c r="G165">
        <v>0.14299999999999999</v>
      </c>
      <c r="H165">
        <v>19</v>
      </c>
      <c r="I165">
        <v>87.5</v>
      </c>
      <c r="J165">
        <v>3.69</v>
      </c>
      <c r="K165">
        <v>0</v>
      </c>
      <c r="L165">
        <v>4.4000000000000004</v>
      </c>
      <c r="M165">
        <v>746115.59</v>
      </c>
      <c r="N165">
        <v>94662.96</v>
      </c>
      <c r="O165">
        <f t="shared" si="14"/>
        <v>3.69</v>
      </c>
      <c r="P165">
        <f t="shared" si="15"/>
        <v>4.4000000000000004</v>
      </c>
      <c r="Q165">
        <f t="shared" si="16"/>
        <v>0</v>
      </c>
      <c r="R165">
        <f t="shared" si="17"/>
        <v>1</v>
      </c>
      <c r="S165">
        <f t="shared" si="18"/>
        <v>0</v>
      </c>
      <c r="T165" s="9">
        <f t="shared" si="19"/>
        <v>745845.09587373305</v>
      </c>
      <c r="U165" s="9">
        <f t="shared" si="20"/>
        <v>270.49412626691628</v>
      </c>
    </row>
    <row r="166" spans="1:21">
      <c r="A166" t="s">
        <v>48</v>
      </c>
      <c r="B166" s="2">
        <v>45689</v>
      </c>
      <c r="C166" t="s">
        <v>27</v>
      </c>
      <c r="D166" t="s">
        <v>18</v>
      </c>
      <c r="E166">
        <v>74679.350000000006</v>
      </c>
      <c r="F166">
        <v>8739</v>
      </c>
      <c r="G166">
        <v>5.6000000000000001E-2</v>
      </c>
      <c r="H166">
        <v>21</v>
      </c>
      <c r="I166">
        <v>91.8</v>
      </c>
      <c r="J166">
        <v>2.83</v>
      </c>
      <c r="K166">
        <v>0</v>
      </c>
      <c r="L166">
        <v>3</v>
      </c>
      <c r="M166">
        <v>783797.89</v>
      </c>
      <c r="N166">
        <v>157620.70000000001</v>
      </c>
      <c r="O166">
        <f t="shared" si="14"/>
        <v>2.83</v>
      </c>
      <c r="P166">
        <f t="shared" si="15"/>
        <v>3</v>
      </c>
      <c r="Q166">
        <f t="shared" si="16"/>
        <v>0</v>
      </c>
      <c r="R166">
        <f t="shared" si="17"/>
        <v>0</v>
      </c>
      <c r="S166">
        <f t="shared" si="18"/>
        <v>1</v>
      </c>
      <c r="T166" s="9">
        <f t="shared" si="19"/>
        <v>783308.55105742905</v>
      </c>
      <c r="U166" s="9">
        <f t="shared" si="20"/>
        <v>489.33894257096108</v>
      </c>
    </row>
    <row r="167" spans="1:21">
      <c r="A167" t="s">
        <v>74</v>
      </c>
      <c r="B167" s="2">
        <v>45748</v>
      </c>
      <c r="C167" t="s">
        <v>15</v>
      </c>
      <c r="D167" t="s">
        <v>18</v>
      </c>
      <c r="E167">
        <v>49405.75</v>
      </c>
      <c r="F167">
        <v>9752</v>
      </c>
      <c r="G167">
        <v>9.2999999999999999E-2</v>
      </c>
      <c r="H167">
        <v>21</v>
      </c>
      <c r="I167">
        <v>87</v>
      </c>
      <c r="J167">
        <v>12.28</v>
      </c>
      <c r="K167">
        <v>0</v>
      </c>
      <c r="L167">
        <v>4.0999999999999996</v>
      </c>
      <c r="M167">
        <v>761963.23</v>
      </c>
      <c r="N167">
        <v>150113.60999999999</v>
      </c>
      <c r="O167">
        <f t="shared" si="14"/>
        <v>12.28</v>
      </c>
      <c r="P167">
        <f t="shared" si="15"/>
        <v>4.0999999999999996</v>
      </c>
      <c r="Q167">
        <f t="shared" si="16"/>
        <v>0</v>
      </c>
      <c r="R167">
        <f t="shared" si="17"/>
        <v>0</v>
      </c>
      <c r="S167">
        <f t="shared" si="18"/>
        <v>0</v>
      </c>
      <c r="T167" s="9">
        <f t="shared" si="19"/>
        <v>761114.86241715937</v>
      </c>
      <c r="U167" s="9">
        <f t="shared" si="20"/>
        <v>848.36758284061216</v>
      </c>
    </row>
    <row r="168" spans="1:21">
      <c r="A168" t="s">
        <v>60</v>
      </c>
      <c r="B168" s="2">
        <v>45748</v>
      </c>
      <c r="C168" t="s">
        <v>15</v>
      </c>
      <c r="D168" t="s">
        <v>18</v>
      </c>
      <c r="E168">
        <v>42698.14</v>
      </c>
      <c r="F168">
        <v>7693</v>
      </c>
      <c r="G168">
        <v>0.187</v>
      </c>
      <c r="H168">
        <v>19</v>
      </c>
      <c r="I168">
        <v>90.1</v>
      </c>
      <c r="J168">
        <v>0.44</v>
      </c>
      <c r="K168">
        <v>0</v>
      </c>
      <c r="L168">
        <v>4.4000000000000004</v>
      </c>
      <c r="M168">
        <v>702318.94</v>
      </c>
      <c r="N168">
        <v>112829.29</v>
      </c>
      <c r="O168">
        <f t="shared" si="14"/>
        <v>0.44</v>
      </c>
      <c r="P168">
        <f t="shared" si="15"/>
        <v>4.4000000000000004</v>
      </c>
      <c r="Q168">
        <f t="shared" si="16"/>
        <v>0</v>
      </c>
      <c r="R168">
        <f t="shared" si="17"/>
        <v>0</v>
      </c>
      <c r="S168">
        <f t="shared" si="18"/>
        <v>0</v>
      </c>
      <c r="T168" s="9">
        <f t="shared" si="19"/>
        <v>700828.18857447</v>
      </c>
      <c r="U168" s="9">
        <f t="shared" si="20"/>
        <v>1490.7514255299466</v>
      </c>
    </row>
    <row r="169" spans="1:21">
      <c r="A169" t="s">
        <v>54</v>
      </c>
      <c r="B169" s="2">
        <v>45689</v>
      </c>
      <c r="C169" t="s">
        <v>15</v>
      </c>
      <c r="D169" t="s">
        <v>18</v>
      </c>
      <c r="E169">
        <v>68410.929999999993</v>
      </c>
      <c r="F169">
        <v>10596</v>
      </c>
      <c r="G169">
        <v>0.20699999999999999</v>
      </c>
      <c r="H169">
        <v>25</v>
      </c>
      <c r="I169">
        <v>81.2</v>
      </c>
      <c r="J169">
        <v>0.21</v>
      </c>
      <c r="K169">
        <v>0</v>
      </c>
      <c r="L169">
        <v>4</v>
      </c>
      <c r="M169">
        <v>801830.35</v>
      </c>
      <c r="N169">
        <v>114875.32</v>
      </c>
      <c r="O169">
        <f t="shared" si="14"/>
        <v>0.21</v>
      </c>
      <c r="P169">
        <f t="shared" si="15"/>
        <v>4</v>
      </c>
      <c r="Q169">
        <f t="shared" si="16"/>
        <v>0</v>
      </c>
      <c r="R169">
        <f t="shared" si="17"/>
        <v>0</v>
      </c>
      <c r="S169">
        <f t="shared" si="18"/>
        <v>0</v>
      </c>
      <c r="T169" s="9">
        <f t="shared" si="19"/>
        <v>800287.41877497488</v>
      </c>
      <c r="U169" s="9">
        <f t="shared" si="20"/>
        <v>1542.931225025095</v>
      </c>
    </row>
    <row r="170" spans="1:21">
      <c r="A170" t="s">
        <v>87</v>
      </c>
      <c r="B170" s="2">
        <v>45658</v>
      </c>
      <c r="C170" t="s">
        <v>27</v>
      </c>
      <c r="D170" t="s">
        <v>18</v>
      </c>
      <c r="E170">
        <v>14519.37</v>
      </c>
      <c r="F170">
        <v>3047</v>
      </c>
      <c r="G170">
        <v>0.13500000000000001</v>
      </c>
      <c r="H170">
        <v>10</v>
      </c>
      <c r="I170">
        <v>90.3</v>
      </c>
      <c r="J170">
        <v>6.62</v>
      </c>
      <c r="K170">
        <v>0</v>
      </c>
      <c r="L170">
        <v>4.2</v>
      </c>
      <c r="M170">
        <v>528852.62</v>
      </c>
      <c r="N170">
        <v>68426.210000000006</v>
      </c>
      <c r="O170">
        <f t="shared" si="14"/>
        <v>6.62</v>
      </c>
      <c r="P170">
        <f t="shared" si="15"/>
        <v>4.2</v>
      </c>
      <c r="Q170">
        <f t="shared" si="16"/>
        <v>0</v>
      </c>
      <c r="R170">
        <f t="shared" si="17"/>
        <v>0</v>
      </c>
      <c r="S170">
        <f t="shared" si="18"/>
        <v>1</v>
      </c>
      <c r="T170" s="9">
        <f t="shared" si="19"/>
        <v>527126.87018494075</v>
      </c>
      <c r="U170" s="9">
        <f t="shared" si="20"/>
        <v>1725.7498150592437</v>
      </c>
    </row>
    <row r="171" spans="1:21">
      <c r="A171" t="s">
        <v>84</v>
      </c>
      <c r="B171" s="2">
        <v>45717</v>
      </c>
      <c r="C171" t="s">
        <v>20</v>
      </c>
      <c r="D171" t="s">
        <v>18</v>
      </c>
      <c r="E171">
        <v>38361.93</v>
      </c>
      <c r="F171">
        <v>6322</v>
      </c>
      <c r="G171">
        <v>0.27300000000000002</v>
      </c>
      <c r="H171">
        <v>15</v>
      </c>
      <c r="I171">
        <v>88.4</v>
      </c>
      <c r="J171">
        <v>0.83</v>
      </c>
      <c r="K171">
        <v>0</v>
      </c>
      <c r="L171">
        <v>4</v>
      </c>
      <c r="M171">
        <v>647953.78</v>
      </c>
      <c r="N171">
        <v>118497.43</v>
      </c>
      <c r="O171">
        <f t="shared" si="14"/>
        <v>0.83</v>
      </c>
      <c r="P171">
        <f t="shared" si="15"/>
        <v>4</v>
      </c>
      <c r="Q171">
        <f t="shared" si="16"/>
        <v>1</v>
      </c>
      <c r="R171">
        <f t="shared" si="17"/>
        <v>0</v>
      </c>
      <c r="S171">
        <f t="shared" si="18"/>
        <v>0</v>
      </c>
      <c r="T171" s="9">
        <f t="shared" si="19"/>
        <v>646151.67450998107</v>
      </c>
      <c r="U171" s="9">
        <f t="shared" si="20"/>
        <v>1802.1054900189629</v>
      </c>
    </row>
    <row r="172" spans="1:21">
      <c r="A172" t="s">
        <v>88</v>
      </c>
      <c r="B172" s="2">
        <v>45658</v>
      </c>
      <c r="C172" t="s">
        <v>15</v>
      </c>
      <c r="D172" t="s">
        <v>18</v>
      </c>
      <c r="E172">
        <v>58981.91</v>
      </c>
      <c r="F172">
        <v>7324</v>
      </c>
      <c r="G172">
        <v>9.4E-2</v>
      </c>
      <c r="H172">
        <v>15</v>
      </c>
      <c r="I172">
        <v>95.8</v>
      </c>
      <c r="J172">
        <v>0.5</v>
      </c>
      <c r="K172">
        <v>0</v>
      </c>
      <c r="L172">
        <v>3.5</v>
      </c>
      <c r="M172">
        <v>708985.19</v>
      </c>
      <c r="N172">
        <v>125368.16</v>
      </c>
      <c r="O172">
        <f t="shared" si="14"/>
        <v>0.5</v>
      </c>
      <c r="P172">
        <f t="shared" si="15"/>
        <v>3.5</v>
      </c>
      <c r="Q172">
        <f t="shared" si="16"/>
        <v>0</v>
      </c>
      <c r="R172">
        <f t="shared" si="17"/>
        <v>0</v>
      </c>
      <c r="S172">
        <f t="shared" si="18"/>
        <v>0</v>
      </c>
      <c r="T172" s="9">
        <f t="shared" si="19"/>
        <v>706732.25195502921</v>
      </c>
      <c r="U172" s="9">
        <f t="shared" si="20"/>
        <v>2252.9380449707387</v>
      </c>
    </row>
    <row r="173" spans="1:21">
      <c r="A173" t="s">
        <v>95</v>
      </c>
      <c r="B173" s="2">
        <v>45689</v>
      </c>
      <c r="C173" t="s">
        <v>27</v>
      </c>
      <c r="D173" t="s">
        <v>18</v>
      </c>
      <c r="E173">
        <v>40102.879999999997</v>
      </c>
      <c r="F173">
        <v>2358</v>
      </c>
      <c r="G173">
        <v>0.11899999999999999</v>
      </c>
      <c r="H173">
        <v>9</v>
      </c>
      <c r="I173">
        <v>88.7</v>
      </c>
      <c r="J173">
        <v>1.6</v>
      </c>
      <c r="K173">
        <v>0</v>
      </c>
      <c r="L173">
        <v>4.2</v>
      </c>
      <c r="M173">
        <v>533121.26</v>
      </c>
      <c r="N173">
        <v>55063.39</v>
      </c>
      <c r="O173">
        <f t="shared" si="14"/>
        <v>1.6</v>
      </c>
      <c r="P173">
        <f t="shared" si="15"/>
        <v>4.2</v>
      </c>
      <c r="Q173">
        <f t="shared" si="16"/>
        <v>0</v>
      </c>
      <c r="R173">
        <f t="shared" si="17"/>
        <v>0</v>
      </c>
      <c r="S173">
        <f t="shared" si="18"/>
        <v>1</v>
      </c>
      <c r="T173" s="9">
        <f t="shared" si="19"/>
        <v>530451.50891004771</v>
      </c>
      <c r="U173" s="9">
        <f t="shared" si="20"/>
        <v>2669.751089952304</v>
      </c>
    </row>
    <row r="174" spans="1:21">
      <c r="A174" t="s">
        <v>63</v>
      </c>
      <c r="B174" s="2">
        <v>45717</v>
      </c>
      <c r="C174" t="s">
        <v>20</v>
      </c>
      <c r="D174" t="s">
        <v>28</v>
      </c>
      <c r="E174">
        <v>30301.86</v>
      </c>
      <c r="F174">
        <v>6939</v>
      </c>
      <c r="G174">
        <v>0.09</v>
      </c>
      <c r="H174">
        <v>16</v>
      </c>
      <c r="I174">
        <v>90.3</v>
      </c>
      <c r="J174">
        <v>3.49</v>
      </c>
      <c r="K174">
        <v>0</v>
      </c>
      <c r="L174">
        <v>4</v>
      </c>
      <c r="M174">
        <v>665534.69999999995</v>
      </c>
      <c r="N174">
        <v>113167.73</v>
      </c>
      <c r="O174">
        <f t="shared" si="14"/>
        <v>3.49</v>
      </c>
      <c r="P174">
        <f t="shared" si="15"/>
        <v>4</v>
      </c>
      <c r="Q174">
        <f t="shared" si="16"/>
        <v>1</v>
      </c>
      <c r="R174">
        <f t="shared" si="17"/>
        <v>0</v>
      </c>
      <c r="S174">
        <f t="shared" si="18"/>
        <v>0</v>
      </c>
      <c r="T174" s="9">
        <f t="shared" si="19"/>
        <v>662518.50701257004</v>
      </c>
      <c r="U174" s="9">
        <f t="shared" si="20"/>
        <v>3016.1929874299094</v>
      </c>
    </row>
    <row r="175" spans="1:21">
      <c r="A175" t="s">
        <v>68</v>
      </c>
      <c r="B175" s="2">
        <v>45748</v>
      </c>
      <c r="C175" t="s">
        <v>20</v>
      </c>
      <c r="D175" t="s">
        <v>18</v>
      </c>
      <c r="E175">
        <v>72784.800000000003</v>
      </c>
      <c r="F175">
        <v>7932</v>
      </c>
      <c r="G175">
        <v>9.4E-2</v>
      </c>
      <c r="H175">
        <v>20</v>
      </c>
      <c r="I175">
        <v>74.900000000000006</v>
      </c>
      <c r="J175">
        <v>13.62</v>
      </c>
      <c r="K175">
        <v>0</v>
      </c>
      <c r="L175">
        <v>4.2</v>
      </c>
      <c r="M175">
        <v>712546.38</v>
      </c>
      <c r="N175">
        <v>101480.04</v>
      </c>
      <c r="O175">
        <f t="shared" si="14"/>
        <v>13.62</v>
      </c>
      <c r="P175">
        <f t="shared" si="15"/>
        <v>4.2</v>
      </c>
      <c r="Q175">
        <f t="shared" si="16"/>
        <v>1</v>
      </c>
      <c r="R175">
        <f t="shared" si="17"/>
        <v>0</v>
      </c>
      <c r="S175">
        <f t="shared" si="18"/>
        <v>0</v>
      </c>
      <c r="T175" s="9">
        <f t="shared" si="19"/>
        <v>708795.73523593287</v>
      </c>
      <c r="U175" s="9">
        <f t="shared" si="20"/>
        <v>3750.6447640671395</v>
      </c>
    </row>
    <row r="176" spans="1:21">
      <c r="A176" t="s">
        <v>90</v>
      </c>
      <c r="B176" s="2">
        <v>45658</v>
      </c>
      <c r="C176" t="s">
        <v>27</v>
      </c>
      <c r="D176" t="s">
        <v>18</v>
      </c>
      <c r="E176">
        <v>50532.17</v>
      </c>
      <c r="F176">
        <v>5689</v>
      </c>
      <c r="G176">
        <v>5.1999999999999998E-2</v>
      </c>
      <c r="H176">
        <v>17</v>
      </c>
      <c r="I176">
        <v>85.6</v>
      </c>
      <c r="J176">
        <v>6.23</v>
      </c>
      <c r="K176">
        <v>0</v>
      </c>
      <c r="L176">
        <v>3.3</v>
      </c>
      <c r="M176">
        <v>645039.97</v>
      </c>
      <c r="N176">
        <v>83093.33</v>
      </c>
      <c r="O176">
        <f t="shared" si="14"/>
        <v>6.23</v>
      </c>
      <c r="P176">
        <f t="shared" si="15"/>
        <v>3.3</v>
      </c>
      <c r="Q176">
        <f t="shared" si="16"/>
        <v>0</v>
      </c>
      <c r="R176">
        <f t="shared" si="17"/>
        <v>0</v>
      </c>
      <c r="S176">
        <f t="shared" si="18"/>
        <v>1</v>
      </c>
      <c r="T176" s="9">
        <f t="shared" si="19"/>
        <v>641093.80009348167</v>
      </c>
      <c r="U176" s="9">
        <f t="shared" si="20"/>
        <v>3946.1699065183057</v>
      </c>
    </row>
    <row r="177" spans="1:21">
      <c r="A177" t="s">
        <v>77</v>
      </c>
      <c r="B177" s="2">
        <v>45658</v>
      </c>
      <c r="C177" t="s">
        <v>15</v>
      </c>
      <c r="D177" t="s">
        <v>18</v>
      </c>
      <c r="E177">
        <v>53367.73</v>
      </c>
      <c r="F177">
        <v>7291</v>
      </c>
      <c r="G177">
        <v>0.14599999999999999</v>
      </c>
      <c r="H177">
        <v>18</v>
      </c>
      <c r="I177">
        <v>90.6</v>
      </c>
      <c r="J177">
        <v>6.34</v>
      </c>
      <c r="K177">
        <v>1</v>
      </c>
      <c r="L177">
        <v>3.8</v>
      </c>
      <c r="M177">
        <v>712219.81</v>
      </c>
      <c r="N177">
        <v>85906.54</v>
      </c>
      <c r="O177">
        <f t="shared" si="14"/>
        <v>6.34</v>
      </c>
      <c r="P177">
        <f t="shared" si="15"/>
        <v>3.8</v>
      </c>
      <c r="Q177">
        <f t="shared" si="16"/>
        <v>0</v>
      </c>
      <c r="R177">
        <f t="shared" si="17"/>
        <v>0</v>
      </c>
      <c r="S177">
        <f t="shared" si="18"/>
        <v>0</v>
      </c>
      <c r="T177" s="9">
        <f t="shared" si="19"/>
        <v>707498.54772035987</v>
      </c>
      <c r="U177" s="9">
        <f t="shared" si="20"/>
        <v>4721.2622796401847</v>
      </c>
    </row>
    <row r="178" spans="1:21">
      <c r="A178" t="s">
        <v>97</v>
      </c>
      <c r="B178" s="2">
        <v>45689</v>
      </c>
      <c r="C178" t="s">
        <v>20</v>
      </c>
      <c r="D178" t="s">
        <v>28</v>
      </c>
      <c r="E178">
        <v>63986.98</v>
      </c>
      <c r="F178">
        <v>7989</v>
      </c>
      <c r="G178">
        <v>7.3999999999999996E-2</v>
      </c>
      <c r="H178">
        <v>20</v>
      </c>
      <c r="I178">
        <v>83.3</v>
      </c>
      <c r="J178">
        <v>3.6</v>
      </c>
      <c r="K178">
        <v>0</v>
      </c>
      <c r="L178">
        <v>3.7</v>
      </c>
      <c r="M178">
        <v>724346.73</v>
      </c>
      <c r="N178">
        <v>155013.91</v>
      </c>
      <c r="O178">
        <f t="shared" si="14"/>
        <v>3.6</v>
      </c>
      <c r="P178">
        <f t="shared" si="15"/>
        <v>3.7</v>
      </c>
      <c r="Q178">
        <f t="shared" si="16"/>
        <v>1</v>
      </c>
      <c r="R178">
        <f t="shared" si="17"/>
        <v>0</v>
      </c>
      <c r="S178">
        <f t="shared" si="18"/>
        <v>0</v>
      </c>
      <c r="T178" s="9">
        <f t="shared" si="19"/>
        <v>719514.77971025021</v>
      </c>
      <c r="U178" s="9">
        <f t="shared" si="20"/>
        <v>4831.9502897497732</v>
      </c>
    </row>
    <row r="179" spans="1:21">
      <c r="A179" t="s">
        <v>43</v>
      </c>
      <c r="B179" s="2">
        <v>45689</v>
      </c>
      <c r="C179" t="s">
        <v>27</v>
      </c>
      <c r="D179" t="s">
        <v>18</v>
      </c>
      <c r="E179">
        <v>88443.77</v>
      </c>
      <c r="F179">
        <v>4004</v>
      </c>
      <c r="G179">
        <v>0.20599999999999999</v>
      </c>
      <c r="H179">
        <v>11</v>
      </c>
      <c r="I179">
        <v>91.9</v>
      </c>
      <c r="J179">
        <v>5.95</v>
      </c>
      <c r="K179">
        <v>0</v>
      </c>
      <c r="M179">
        <v>611766.72</v>
      </c>
      <c r="N179">
        <v>88275.61</v>
      </c>
      <c r="O179">
        <f t="shared" si="14"/>
        <v>5.95</v>
      </c>
      <c r="P179">
        <f t="shared" si="15"/>
        <v>0</v>
      </c>
      <c r="Q179">
        <f t="shared" si="16"/>
        <v>0</v>
      </c>
      <c r="R179">
        <f t="shared" si="17"/>
        <v>0</v>
      </c>
      <c r="S179">
        <f t="shared" si="18"/>
        <v>1</v>
      </c>
      <c r="T179" s="9">
        <f t="shared" si="19"/>
        <v>606501.65138657927</v>
      </c>
      <c r="U179" s="9">
        <f t="shared" si="20"/>
        <v>5265.0686134207062</v>
      </c>
    </row>
    <row r="180" spans="1:21">
      <c r="A180" t="s">
        <v>74</v>
      </c>
      <c r="B180" s="2">
        <v>45658</v>
      </c>
      <c r="C180" t="s">
        <v>15</v>
      </c>
      <c r="D180" t="s">
        <v>18</v>
      </c>
      <c r="E180">
        <v>63457.19</v>
      </c>
      <c r="F180">
        <v>10125</v>
      </c>
      <c r="G180">
        <v>9.7000000000000003E-2</v>
      </c>
      <c r="H180">
        <v>24</v>
      </c>
      <c r="I180">
        <v>87</v>
      </c>
      <c r="J180">
        <v>3.84</v>
      </c>
      <c r="K180">
        <v>1</v>
      </c>
      <c r="L180">
        <v>3.7</v>
      </c>
      <c r="M180">
        <v>810446.53</v>
      </c>
      <c r="N180">
        <v>200575.34</v>
      </c>
      <c r="O180">
        <f t="shared" si="14"/>
        <v>3.84</v>
      </c>
      <c r="P180">
        <f t="shared" si="15"/>
        <v>3.7</v>
      </c>
      <c r="Q180">
        <f t="shared" si="16"/>
        <v>0</v>
      </c>
      <c r="R180">
        <f t="shared" si="17"/>
        <v>0</v>
      </c>
      <c r="S180">
        <f t="shared" si="18"/>
        <v>0</v>
      </c>
      <c r="T180" s="9">
        <f t="shared" si="19"/>
        <v>805081.93346356333</v>
      </c>
      <c r="U180" s="9">
        <f t="shared" si="20"/>
        <v>5364.5965364367003</v>
      </c>
    </row>
    <row r="181" spans="1:21">
      <c r="A181" t="s">
        <v>31</v>
      </c>
      <c r="B181" s="2">
        <v>45748</v>
      </c>
      <c r="C181" t="s">
        <v>20</v>
      </c>
      <c r="D181" t="s">
        <v>28</v>
      </c>
      <c r="E181">
        <v>65012.19</v>
      </c>
      <c r="F181">
        <v>9598</v>
      </c>
      <c r="G181">
        <v>8.5000000000000006E-2</v>
      </c>
      <c r="H181">
        <v>24</v>
      </c>
      <c r="I181">
        <v>98.3</v>
      </c>
      <c r="J181">
        <v>0.89</v>
      </c>
      <c r="K181">
        <v>0</v>
      </c>
      <c r="L181">
        <v>3.8</v>
      </c>
      <c r="M181">
        <v>828623.85</v>
      </c>
      <c r="N181">
        <v>167320.51999999999</v>
      </c>
      <c r="O181">
        <f t="shared" si="14"/>
        <v>0.89</v>
      </c>
      <c r="P181">
        <f t="shared" si="15"/>
        <v>3.8</v>
      </c>
      <c r="Q181">
        <f t="shared" si="16"/>
        <v>1</v>
      </c>
      <c r="R181">
        <f t="shared" si="17"/>
        <v>0</v>
      </c>
      <c r="S181">
        <f t="shared" si="18"/>
        <v>0</v>
      </c>
      <c r="T181" s="9">
        <f t="shared" si="19"/>
        <v>822695.65576525335</v>
      </c>
      <c r="U181" s="9">
        <f t="shared" si="20"/>
        <v>5928.1942347466247</v>
      </c>
    </row>
    <row r="182" spans="1:21">
      <c r="A182" t="s">
        <v>96</v>
      </c>
      <c r="B182" s="2">
        <v>45658</v>
      </c>
      <c r="C182" t="s">
        <v>27</v>
      </c>
      <c r="D182" t="s">
        <v>18</v>
      </c>
      <c r="E182">
        <v>55599.56</v>
      </c>
      <c r="F182">
        <v>5896</v>
      </c>
      <c r="G182">
        <v>3.5999999999999997E-2</v>
      </c>
      <c r="H182">
        <v>12</v>
      </c>
      <c r="I182">
        <v>93.1</v>
      </c>
      <c r="J182">
        <v>6.13</v>
      </c>
      <c r="K182">
        <v>0</v>
      </c>
      <c r="L182">
        <v>3.3</v>
      </c>
      <c r="M182">
        <v>668459.37</v>
      </c>
      <c r="N182">
        <v>126435.42</v>
      </c>
      <c r="O182">
        <f t="shared" si="14"/>
        <v>6.13</v>
      </c>
      <c r="P182">
        <f t="shared" si="15"/>
        <v>3.3</v>
      </c>
      <c r="Q182">
        <f t="shared" si="16"/>
        <v>0</v>
      </c>
      <c r="R182">
        <f t="shared" si="17"/>
        <v>0</v>
      </c>
      <c r="S182">
        <f t="shared" si="18"/>
        <v>1</v>
      </c>
      <c r="T182" s="9">
        <f t="shared" si="19"/>
        <v>662319.30805986212</v>
      </c>
      <c r="U182" s="9">
        <f t="shared" si="20"/>
        <v>6140.061940137879</v>
      </c>
    </row>
    <row r="183" spans="1:21">
      <c r="A183" t="s">
        <v>57</v>
      </c>
      <c r="B183" s="2">
        <v>45748</v>
      </c>
      <c r="C183" t="s">
        <v>27</v>
      </c>
      <c r="D183" t="s">
        <v>18</v>
      </c>
      <c r="E183">
        <v>50198.12</v>
      </c>
      <c r="F183">
        <v>6089</v>
      </c>
      <c r="G183">
        <v>0.182</v>
      </c>
      <c r="H183">
        <v>19</v>
      </c>
      <c r="I183">
        <v>94</v>
      </c>
      <c r="J183">
        <v>9.6999999999999993</v>
      </c>
      <c r="K183">
        <v>0</v>
      </c>
      <c r="L183">
        <v>3.9</v>
      </c>
      <c r="M183">
        <v>695098.51</v>
      </c>
      <c r="N183">
        <v>108192.75</v>
      </c>
      <c r="O183">
        <f t="shared" si="14"/>
        <v>9.6999999999999993</v>
      </c>
      <c r="P183">
        <f t="shared" si="15"/>
        <v>3.9</v>
      </c>
      <c r="Q183">
        <f t="shared" si="16"/>
        <v>0</v>
      </c>
      <c r="R183">
        <f t="shared" si="17"/>
        <v>0</v>
      </c>
      <c r="S183">
        <f t="shared" si="18"/>
        <v>1</v>
      </c>
      <c r="T183" s="9">
        <f t="shared" si="19"/>
        <v>688372.51893327828</v>
      </c>
      <c r="U183" s="9">
        <f t="shared" si="20"/>
        <v>6725.9910667217337</v>
      </c>
    </row>
    <row r="184" spans="1:21">
      <c r="A184" t="s">
        <v>54</v>
      </c>
      <c r="B184" s="2">
        <v>45658</v>
      </c>
      <c r="C184" t="s">
        <v>15</v>
      </c>
      <c r="D184" t="s">
        <v>18</v>
      </c>
      <c r="E184">
        <v>66250.53</v>
      </c>
      <c r="F184">
        <v>10618</v>
      </c>
      <c r="G184">
        <v>0.14199999999999999</v>
      </c>
      <c r="H184">
        <v>27</v>
      </c>
      <c r="I184">
        <v>88.3</v>
      </c>
      <c r="J184">
        <v>1.1000000000000001</v>
      </c>
      <c r="K184">
        <v>1</v>
      </c>
      <c r="L184">
        <v>4.4000000000000004</v>
      </c>
      <c r="M184">
        <v>849018.3</v>
      </c>
      <c r="N184">
        <v>149035.13</v>
      </c>
      <c r="O184">
        <f t="shared" si="14"/>
        <v>1.1000000000000001</v>
      </c>
      <c r="P184">
        <f t="shared" si="15"/>
        <v>4.4000000000000004</v>
      </c>
      <c r="Q184">
        <f t="shared" si="16"/>
        <v>0</v>
      </c>
      <c r="R184">
        <f t="shared" si="17"/>
        <v>0</v>
      </c>
      <c r="S184">
        <f t="shared" si="18"/>
        <v>0</v>
      </c>
      <c r="T184" s="9">
        <f t="shared" si="19"/>
        <v>841463.65965222043</v>
      </c>
      <c r="U184" s="9">
        <f t="shared" si="20"/>
        <v>7554.6403477796121</v>
      </c>
    </row>
    <row r="185" spans="1:21">
      <c r="A185" t="s">
        <v>77</v>
      </c>
      <c r="B185" s="2">
        <v>45717</v>
      </c>
      <c r="C185" t="s">
        <v>15</v>
      </c>
      <c r="D185" t="s">
        <v>18</v>
      </c>
      <c r="E185">
        <v>66962.740000000005</v>
      </c>
      <c r="F185">
        <v>7880</v>
      </c>
      <c r="G185">
        <v>0.11600000000000001</v>
      </c>
      <c r="H185">
        <v>19</v>
      </c>
      <c r="I185">
        <v>90.4</v>
      </c>
      <c r="J185">
        <v>4.5</v>
      </c>
      <c r="K185">
        <v>0</v>
      </c>
      <c r="L185">
        <v>3.3</v>
      </c>
      <c r="M185">
        <v>732667.92</v>
      </c>
      <c r="N185">
        <v>128654.46</v>
      </c>
      <c r="O185">
        <f t="shared" si="14"/>
        <v>4.5</v>
      </c>
      <c r="P185">
        <f t="shared" si="15"/>
        <v>3.3</v>
      </c>
      <c r="Q185">
        <f t="shared" si="16"/>
        <v>0</v>
      </c>
      <c r="R185">
        <f t="shared" si="17"/>
        <v>0</v>
      </c>
      <c r="S185">
        <f t="shared" si="18"/>
        <v>0</v>
      </c>
      <c r="T185" s="9">
        <f t="shared" si="19"/>
        <v>724599.20758846565</v>
      </c>
      <c r="U185" s="9">
        <f t="shared" si="20"/>
        <v>8068.7124115343904</v>
      </c>
    </row>
    <row r="186" spans="1:21">
      <c r="A186" t="s">
        <v>100</v>
      </c>
      <c r="B186" s="2">
        <v>45717</v>
      </c>
      <c r="C186" t="s">
        <v>20</v>
      </c>
      <c r="D186" t="s">
        <v>16</v>
      </c>
      <c r="E186">
        <v>62507.16</v>
      </c>
      <c r="F186">
        <v>6000</v>
      </c>
      <c r="G186">
        <v>9.0999999999999998E-2</v>
      </c>
      <c r="H186">
        <v>14</v>
      </c>
      <c r="I186">
        <v>98.2</v>
      </c>
      <c r="J186">
        <v>4.38</v>
      </c>
      <c r="K186">
        <v>1</v>
      </c>
      <c r="L186">
        <v>3.9</v>
      </c>
      <c r="M186">
        <v>712375.77</v>
      </c>
      <c r="N186">
        <v>104171.53</v>
      </c>
      <c r="O186">
        <f t="shared" si="14"/>
        <v>4.38</v>
      </c>
      <c r="P186">
        <f t="shared" si="15"/>
        <v>3.9</v>
      </c>
      <c r="Q186">
        <f t="shared" si="16"/>
        <v>1</v>
      </c>
      <c r="R186">
        <f t="shared" si="17"/>
        <v>0</v>
      </c>
      <c r="S186">
        <f t="shared" si="18"/>
        <v>0</v>
      </c>
      <c r="T186" s="9">
        <f t="shared" si="19"/>
        <v>703788.19587719569</v>
      </c>
      <c r="U186" s="9">
        <f t="shared" si="20"/>
        <v>8587.5741228043335</v>
      </c>
    </row>
    <row r="187" spans="1:21">
      <c r="A187" t="s">
        <v>85</v>
      </c>
      <c r="B187" s="2">
        <v>45658</v>
      </c>
      <c r="C187" t="s">
        <v>24</v>
      </c>
      <c r="D187" t="s">
        <v>21</v>
      </c>
      <c r="E187">
        <v>81801.8</v>
      </c>
      <c r="F187">
        <v>6782</v>
      </c>
      <c r="G187">
        <v>0.05</v>
      </c>
      <c r="H187">
        <v>16</v>
      </c>
      <c r="I187">
        <v>99</v>
      </c>
      <c r="J187">
        <v>9.5399999999999991</v>
      </c>
      <c r="K187">
        <v>0</v>
      </c>
      <c r="L187">
        <v>3.7</v>
      </c>
      <c r="M187">
        <v>764949</v>
      </c>
      <c r="N187">
        <v>148322.43</v>
      </c>
      <c r="O187">
        <f t="shared" si="14"/>
        <v>9.5399999999999991</v>
      </c>
      <c r="P187">
        <f t="shared" si="15"/>
        <v>3.7</v>
      </c>
      <c r="Q187">
        <f t="shared" si="16"/>
        <v>0</v>
      </c>
      <c r="R187">
        <f t="shared" si="17"/>
        <v>1</v>
      </c>
      <c r="S187">
        <f t="shared" si="18"/>
        <v>0</v>
      </c>
      <c r="T187" s="9">
        <f t="shared" si="19"/>
        <v>756138.87963809492</v>
      </c>
      <c r="U187" s="9">
        <f t="shared" si="20"/>
        <v>8810.1203619050793</v>
      </c>
    </row>
    <row r="188" spans="1:21">
      <c r="A188" t="s">
        <v>48</v>
      </c>
      <c r="B188" s="2">
        <v>45748</v>
      </c>
      <c r="C188" t="s">
        <v>27</v>
      </c>
      <c r="D188" t="s">
        <v>18</v>
      </c>
      <c r="E188">
        <v>31042.03</v>
      </c>
      <c r="F188">
        <v>7107</v>
      </c>
      <c r="G188">
        <v>5.0999999999999997E-2</v>
      </c>
      <c r="H188">
        <v>15</v>
      </c>
      <c r="I188">
        <v>87</v>
      </c>
      <c r="J188">
        <v>13.33</v>
      </c>
      <c r="K188">
        <v>0</v>
      </c>
      <c r="L188">
        <v>3.2</v>
      </c>
      <c r="M188">
        <v>665594.93999999994</v>
      </c>
      <c r="N188">
        <v>127597.34</v>
      </c>
      <c r="O188">
        <f t="shared" si="14"/>
        <v>13.33</v>
      </c>
      <c r="P188">
        <f t="shared" si="15"/>
        <v>3.2</v>
      </c>
      <c r="Q188">
        <f t="shared" si="16"/>
        <v>0</v>
      </c>
      <c r="R188">
        <f t="shared" si="17"/>
        <v>0</v>
      </c>
      <c r="S188">
        <f t="shared" si="18"/>
        <v>1</v>
      </c>
      <c r="T188" s="9">
        <f t="shared" si="19"/>
        <v>656698.99457991961</v>
      </c>
      <c r="U188" s="9">
        <f t="shared" si="20"/>
        <v>8895.9454200803302</v>
      </c>
    </row>
    <row r="189" spans="1:21">
      <c r="A189" t="s">
        <v>95</v>
      </c>
      <c r="B189" s="2">
        <v>45748</v>
      </c>
      <c r="C189" t="s">
        <v>27</v>
      </c>
      <c r="D189" t="s">
        <v>18</v>
      </c>
      <c r="E189">
        <v>27398.28</v>
      </c>
      <c r="F189">
        <v>1723</v>
      </c>
      <c r="G189">
        <v>0.17100000000000001</v>
      </c>
      <c r="H189">
        <v>9</v>
      </c>
      <c r="I189">
        <v>81</v>
      </c>
      <c r="J189">
        <v>0.74</v>
      </c>
      <c r="K189">
        <v>0</v>
      </c>
      <c r="L189">
        <v>4.5999999999999996</v>
      </c>
      <c r="M189">
        <v>487738.26</v>
      </c>
      <c r="N189">
        <v>96435.6</v>
      </c>
      <c r="O189">
        <f t="shared" si="14"/>
        <v>0.74</v>
      </c>
      <c r="P189">
        <f t="shared" si="15"/>
        <v>4.5999999999999996</v>
      </c>
      <c r="Q189">
        <f t="shared" si="16"/>
        <v>0</v>
      </c>
      <c r="R189">
        <f t="shared" si="17"/>
        <v>0</v>
      </c>
      <c r="S189">
        <f t="shared" si="18"/>
        <v>1</v>
      </c>
      <c r="T189" s="9">
        <f t="shared" si="19"/>
        <v>478458.58098205208</v>
      </c>
      <c r="U189" s="9">
        <f t="shared" si="20"/>
        <v>9279.6790179479285</v>
      </c>
    </row>
    <row r="190" spans="1:21">
      <c r="A190" t="s">
        <v>40</v>
      </c>
      <c r="B190" s="2">
        <v>45658</v>
      </c>
      <c r="C190" t="s">
        <v>15</v>
      </c>
      <c r="D190" t="s">
        <v>16</v>
      </c>
      <c r="E190">
        <v>46201.46</v>
      </c>
      <c r="F190">
        <v>5918</v>
      </c>
      <c r="G190">
        <v>0.27700000000000002</v>
      </c>
      <c r="H190">
        <v>13</v>
      </c>
      <c r="I190">
        <v>78.8</v>
      </c>
      <c r="J190">
        <v>4.91</v>
      </c>
      <c r="K190">
        <v>0</v>
      </c>
      <c r="L190">
        <v>4.5</v>
      </c>
      <c r="M190">
        <v>616069.41</v>
      </c>
      <c r="N190">
        <v>54453.99</v>
      </c>
      <c r="O190">
        <f t="shared" si="14"/>
        <v>4.91</v>
      </c>
      <c r="P190">
        <f t="shared" si="15"/>
        <v>4.5</v>
      </c>
      <c r="Q190">
        <f t="shared" si="16"/>
        <v>0</v>
      </c>
      <c r="R190">
        <f t="shared" si="17"/>
        <v>0</v>
      </c>
      <c r="S190">
        <f t="shared" si="18"/>
        <v>0</v>
      </c>
      <c r="T190" s="9">
        <f t="shared" si="19"/>
        <v>606082.55562551552</v>
      </c>
      <c r="U190" s="9">
        <f t="shared" si="20"/>
        <v>9986.8543744845083</v>
      </c>
    </row>
    <row r="191" spans="1:21">
      <c r="A191" t="s">
        <v>92</v>
      </c>
      <c r="B191" s="2">
        <v>45717</v>
      </c>
      <c r="C191" t="s">
        <v>24</v>
      </c>
      <c r="D191" t="s">
        <v>18</v>
      </c>
      <c r="E191">
        <v>66104.19</v>
      </c>
      <c r="F191">
        <v>5745</v>
      </c>
      <c r="G191">
        <v>7.0000000000000007E-2</v>
      </c>
      <c r="H191">
        <v>17</v>
      </c>
      <c r="I191">
        <v>95.8</v>
      </c>
      <c r="J191">
        <v>3.15</v>
      </c>
      <c r="K191">
        <v>0</v>
      </c>
      <c r="L191">
        <v>4</v>
      </c>
      <c r="M191">
        <v>714083.68</v>
      </c>
      <c r="N191">
        <v>127231.74</v>
      </c>
      <c r="O191">
        <f t="shared" si="14"/>
        <v>3.15</v>
      </c>
      <c r="P191">
        <f t="shared" si="15"/>
        <v>4</v>
      </c>
      <c r="Q191">
        <f t="shared" si="16"/>
        <v>0</v>
      </c>
      <c r="R191">
        <f t="shared" si="17"/>
        <v>1</v>
      </c>
      <c r="S191">
        <f t="shared" si="18"/>
        <v>0</v>
      </c>
      <c r="T191" s="9">
        <f t="shared" si="19"/>
        <v>703782.83915870544</v>
      </c>
      <c r="U191" s="9">
        <f t="shared" si="20"/>
        <v>10300.840841294616</v>
      </c>
    </row>
    <row r="192" spans="1:21">
      <c r="A192" t="s">
        <v>82</v>
      </c>
      <c r="B192" s="2">
        <v>45748</v>
      </c>
      <c r="C192" t="s">
        <v>24</v>
      </c>
      <c r="D192" t="s">
        <v>21</v>
      </c>
      <c r="E192">
        <v>53546.34</v>
      </c>
      <c r="F192">
        <v>8004</v>
      </c>
      <c r="G192">
        <v>0</v>
      </c>
      <c r="H192">
        <v>21</v>
      </c>
      <c r="I192">
        <v>95.2</v>
      </c>
      <c r="J192">
        <v>2.83</v>
      </c>
      <c r="K192">
        <v>0</v>
      </c>
      <c r="L192">
        <v>3</v>
      </c>
      <c r="M192">
        <v>763159.92</v>
      </c>
      <c r="N192">
        <v>177104.87</v>
      </c>
      <c r="O192">
        <f t="shared" si="14"/>
        <v>2.83</v>
      </c>
      <c r="P192">
        <f t="shared" si="15"/>
        <v>3</v>
      </c>
      <c r="Q192">
        <f t="shared" si="16"/>
        <v>0</v>
      </c>
      <c r="R192">
        <f t="shared" si="17"/>
        <v>1</v>
      </c>
      <c r="S192">
        <f t="shared" si="18"/>
        <v>0</v>
      </c>
      <c r="T192" s="9">
        <f t="shared" si="19"/>
        <v>752128.76526373508</v>
      </c>
      <c r="U192" s="9">
        <f t="shared" si="20"/>
        <v>11031.154736264958</v>
      </c>
    </row>
    <row r="193" spans="1:21">
      <c r="A193" t="s">
        <v>56</v>
      </c>
      <c r="B193" s="2">
        <v>45748</v>
      </c>
      <c r="C193" t="s">
        <v>24</v>
      </c>
      <c r="D193" t="s">
        <v>16</v>
      </c>
      <c r="E193">
        <v>44211.95</v>
      </c>
      <c r="F193">
        <v>5465</v>
      </c>
      <c r="G193">
        <v>0.187</v>
      </c>
      <c r="H193">
        <v>12</v>
      </c>
      <c r="I193">
        <v>90</v>
      </c>
      <c r="J193">
        <v>2.89</v>
      </c>
      <c r="K193">
        <v>0</v>
      </c>
      <c r="L193">
        <v>3.6</v>
      </c>
      <c r="M193">
        <v>646559.71</v>
      </c>
      <c r="N193">
        <v>97981.75</v>
      </c>
      <c r="O193">
        <f t="shared" si="14"/>
        <v>2.89</v>
      </c>
      <c r="P193">
        <f t="shared" si="15"/>
        <v>3.6</v>
      </c>
      <c r="Q193">
        <f t="shared" si="16"/>
        <v>0</v>
      </c>
      <c r="R193">
        <f t="shared" si="17"/>
        <v>1</v>
      </c>
      <c r="S193">
        <f t="shared" si="18"/>
        <v>0</v>
      </c>
      <c r="T193" s="9">
        <f t="shared" si="19"/>
        <v>635484.09054125263</v>
      </c>
      <c r="U193" s="9">
        <f t="shared" si="20"/>
        <v>11075.619458747329</v>
      </c>
    </row>
    <row r="194" spans="1:21">
      <c r="A194" t="s">
        <v>77</v>
      </c>
      <c r="B194" s="2">
        <v>45689</v>
      </c>
      <c r="C194" t="s">
        <v>15</v>
      </c>
      <c r="D194" t="s">
        <v>18</v>
      </c>
      <c r="E194">
        <v>27194.639999999999</v>
      </c>
      <c r="F194">
        <v>7404</v>
      </c>
      <c r="G194">
        <v>8.7999999999999995E-2</v>
      </c>
      <c r="H194">
        <v>18</v>
      </c>
      <c r="I194">
        <v>90.2</v>
      </c>
      <c r="J194">
        <v>1.2</v>
      </c>
      <c r="K194">
        <v>0</v>
      </c>
      <c r="L194">
        <v>3.4</v>
      </c>
      <c r="M194">
        <v>672670.54</v>
      </c>
      <c r="N194">
        <v>132684.18</v>
      </c>
      <c r="O194">
        <f t="shared" ref="O194:O257" si="21">IF(ISBLANK(J194),$AA$1,J194)</f>
        <v>1.2</v>
      </c>
      <c r="P194">
        <f t="shared" ref="P194:P257" si="22">IF(ISBLANK(L194),$AB$1,L194)</f>
        <v>3.4</v>
      </c>
      <c r="Q194">
        <f t="shared" ref="Q194:Q257" si="23">IF(TRIM($C194)="North",1,0)</f>
        <v>0</v>
      </c>
      <c r="R194">
        <f t="shared" ref="R194:R257" si="24">IF(TRIM($C194)="South",1,0)</f>
        <v>0</v>
      </c>
      <c r="S194">
        <f t="shared" ref="S194:S257" si="25">IF(TRIM($C194)="West",1,0)</f>
        <v>0</v>
      </c>
      <c r="T194" s="9">
        <f t="shared" ref="T194:T257" si="26">67872.24452+(1.191785586*E194)+(28.84384382*F194)+(2946.815912*I194)+(2577.105881*H194)+(10386.38644*P194)+(12885.25058*K194)+(9508.793539*Q194)+(23759.38097*R194)+(18572.09895*S194)</f>
        <v>661346.65914813918</v>
      </c>
      <c r="U194" s="9">
        <f t="shared" ref="U194:U257" si="27">M194-T194</f>
        <v>11323.880851860857</v>
      </c>
    </row>
    <row r="195" spans="1:21">
      <c r="A195" t="s">
        <v>36</v>
      </c>
      <c r="B195" s="2">
        <v>45658</v>
      </c>
      <c r="C195" t="s">
        <v>15</v>
      </c>
      <c r="D195" t="s">
        <v>21</v>
      </c>
      <c r="E195">
        <v>19365.060000000001</v>
      </c>
      <c r="F195">
        <v>2378</v>
      </c>
      <c r="G195">
        <v>0</v>
      </c>
      <c r="H195">
        <v>12</v>
      </c>
      <c r="I195">
        <v>94.8</v>
      </c>
      <c r="J195">
        <v>0.2</v>
      </c>
      <c r="K195">
        <v>0</v>
      </c>
      <c r="L195">
        <v>3.5</v>
      </c>
      <c r="M195">
        <v>518049.26</v>
      </c>
      <c r="N195">
        <v>108592.49</v>
      </c>
      <c r="O195">
        <f t="shared" si="21"/>
        <v>0.2</v>
      </c>
      <c r="P195">
        <f t="shared" si="22"/>
        <v>3.5</v>
      </c>
      <c r="Q195">
        <f t="shared" si="23"/>
        <v>0</v>
      </c>
      <c r="R195">
        <f t="shared" si="24"/>
        <v>0</v>
      </c>
      <c r="S195">
        <f t="shared" si="25"/>
        <v>0</v>
      </c>
      <c r="T195" s="9">
        <f t="shared" si="26"/>
        <v>506177.67607358511</v>
      </c>
      <c r="U195" s="9">
        <f t="shared" si="27"/>
        <v>11871.583926414896</v>
      </c>
    </row>
    <row r="196" spans="1:21">
      <c r="A196" t="s">
        <v>29</v>
      </c>
      <c r="B196" s="2">
        <v>45689</v>
      </c>
      <c r="C196" t="s">
        <v>15</v>
      </c>
      <c r="D196" t="s">
        <v>16</v>
      </c>
      <c r="E196">
        <v>63176.73</v>
      </c>
      <c r="F196">
        <v>2390</v>
      </c>
      <c r="G196">
        <v>0.216</v>
      </c>
      <c r="H196">
        <v>9</v>
      </c>
      <c r="I196">
        <v>87.5</v>
      </c>
      <c r="J196">
        <v>0.31</v>
      </c>
      <c r="K196">
        <v>0</v>
      </c>
      <c r="L196">
        <v>3.1</v>
      </c>
      <c r="M196">
        <v>537383.79</v>
      </c>
      <c r="N196">
        <v>63773.27</v>
      </c>
      <c r="O196">
        <f t="shared" si="21"/>
        <v>0.31</v>
      </c>
      <c r="P196">
        <f t="shared" si="22"/>
        <v>3.1</v>
      </c>
      <c r="Q196">
        <f t="shared" si="23"/>
        <v>0</v>
      </c>
      <c r="R196">
        <f t="shared" si="24"/>
        <v>0</v>
      </c>
      <c r="S196">
        <f t="shared" si="25"/>
        <v>0</v>
      </c>
      <c r="T196" s="9">
        <f t="shared" si="26"/>
        <v>525340.29062741378</v>
      </c>
      <c r="U196" s="9">
        <f t="shared" si="27"/>
        <v>12043.499372586259</v>
      </c>
    </row>
    <row r="197" spans="1:21">
      <c r="A197" t="s">
        <v>43</v>
      </c>
      <c r="B197" s="2">
        <v>45658</v>
      </c>
      <c r="C197" t="s">
        <v>27</v>
      </c>
      <c r="D197" t="s">
        <v>18</v>
      </c>
      <c r="E197">
        <v>55388.11</v>
      </c>
      <c r="F197">
        <v>3091</v>
      </c>
      <c r="G197">
        <v>0.108</v>
      </c>
      <c r="H197">
        <v>7</v>
      </c>
      <c r="I197">
        <v>85.4</v>
      </c>
      <c r="J197">
        <v>7.34</v>
      </c>
      <c r="K197">
        <v>0</v>
      </c>
      <c r="L197">
        <v>4.9000000000000004</v>
      </c>
      <c r="M197">
        <v>574436.29</v>
      </c>
      <c r="N197">
        <v>80271.990000000005</v>
      </c>
      <c r="O197">
        <f t="shared" si="21"/>
        <v>7.34</v>
      </c>
      <c r="P197">
        <f t="shared" si="22"/>
        <v>4.9000000000000004</v>
      </c>
      <c r="Q197">
        <f t="shared" si="23"/>
        <v>0</v>
      </c>
      <c r="R197">
        <f t="shared" si="24"/>
        <v>0</v>
      </c>
      <c r="S197">
        <f t="shared" si="25"/>
        <v>1</v>
      </c>
      <c r="T197" s="9">
        <f t="shared" si="26"/>
        <v>562202.52945920243</v>
      </c>
      <c r="U197" s="9">
        <f t="shared" si="27"/>
        <v>12233.760540797608</v>
      </c>
    </row>
    <row r="198" spans="1:21">
      <c r="A198" t="s">
        <v>59</v>
      </c>
      <c r="B198" s="2">
        <v>45689</v>
      </c>
      <c r="C198" t="s">
        <v>24</v>
      </c>
      <c r="D198" t="s">
        <v>28</v>
      </c>
      <c r="E198">
        <v>43319.94</v>
      </c>
      <c r="F198">
        <v>6551</v>
      </c>
      <c r="G198">
        <v>4.3999999999999997E-2</v>
      </c>
      <c r="H198">
        <v>13</v>
      </c>
      <c r="I198">
        <v>99</v>
      </c>
      <c r="J198">
        <v>5.45</v>
      </c>
      <c r="K198">
        <v>0</v>
      </c>
      <c r="L198">
        <v>4.0999999999999996</v>
      </c>
      <c r="M198">
        <v>712868.35</v>
      </c>
      <c r="N198">
        <v>133650.51</v>
      </c>
      <c r="O198">
        <f t="shared" si="21"/>
        <v>5.45</v>
      </c>
      <c r="P198">
        <f t="shared" si="22"/>
        <v>4.0999999999999996</v>
      </c>
      <c r="Q198">
        <f t="shared" si="23"/>
        <v>0</v>
      </c>
      <c r="R198">
        <f t="shared" si="24"/>
        <v>1</v>
      </c>
      <c r="S198">
        <f t="shared" si="25"/>
        <v>0</v>
      </c>
      <c r="T198" s="9">
        <f t="shared" si="26"/>
        <v>700037.06257820502</v>
      </c>
      <c r="U198" s="9">
        <f t="shared" si="27"/>
        <v>12831.287421794957</v>
      </c>
    </row>
    <row r="199" spans="1:21">
      <c r="A199" t="s">
        <v>63</v>
      </c>
      <c r="B199" s="2">
        <v>45748</v>
      </c>
      <c r="C199" t="s">
        <v>20</v>
      </c>
      <c r="D199" t="s">
        <v>28</v>
      </c>
      <c r="E199">
        <v>78432.14</v>
      </c>
      <c r="F199">
        <v>9440</v>
      </c>
      <c r="G199">
        <v>0.126</v>
      </c>
      <c r="H199">
        <v>23</v>
      </c>
      <c r="I199">
        <v>89.2</v>
      </c>
      <c r="J199">
        <v>7.86</v>
      </c>
      <c r="K199">
        <v>0</v>
      </c>
      <c r="L199">
        <v>4.0999999999999996</v>
      </c>
      <c r="M199">
        <v>820729.29</v>
      </c>
      <c r="N199">
        <v>159325.47</v>
      </c>
      <c r="O199">
        <f t="shared" si="21"/>
        <v>7.86</v>
      </c>
      <c r="P199">
        <f t="shared" si="22"/>
        <v>4.0999999999999996</v>
      </c>
      <c r="Q199">
        <f t="shared" si="23"/>
        <v>1</v>
      </c>
      <c r="R199">
        <f t="shared" si="24"/>
        <v>0</v>
      </c>
      <c r="S199">
        <f t="shared" si="25"/>
        <v>0</v>
      </c>
      <c r="T199" s="9">
        <f t="shared" si="26"/>
        <v>807854.81666833395</v>
      </c>
      <c r="U199" s="9">
        <f t="shared" si="27"/>
        <v>12874.473331666086</v>
      </c>
    </row>
    <row r="200" spans="1:21">
      <c r="A200" t="s">
        <v>60</v>
      </c>
      <c r="B200" s="2">
        <v>45689</v>
      </c>
      <c r="C200" t="s">
        <v>15</v>
      </c>
      <c r="D200" t="s">
        <v>18</v>
      </c>
      <c r="E200">
        <v>64374.75</v>
      </c>
      <c r="F200">
        <v>6740</v>
      </c>
      <c r="G200">
        <v>0.16900000000000001</v>
      </c>
      <c r="H200">
        <v>18</v>
      </c>
      <c r="I200">
        <v>87</v>
      </c>
      <c r="J200">
        <v>2.09</v>
      </c>
      <c r="K200">
        <v>0</v>
      </c>
      <c r="L200">
        <v>4.2</v>
      </c>
      <c r="M200">
        <v>698492.67</v>
      </c>
      <c r="N200">
        <v>117319.32</v>
      </c>
      <c r="O200">
        <f t="shared" si="21"/>
        <v>2.09</v>
      </c>
      <c r="P200">
        <f t="shared" si="22"/>
        <v>4.2</v>
      </c>
      <c r="Q200">
        <f t="shared" si="23"/>
        <v>0</v>
      </c>
      <c r="R200">
        <f t="shared" si="24"/>
        <v>0</v>
      </c>
      <c r="S200">
        <f t="shared" si="25"/>
        <v>0</v>
      </c>
      <c r="T200" s="9">
        <f t="shared" si="26"/>
        <v>685384.36426915345</v>
      </c>
      <c r="U200" s="9">
        <f t="shared" si="27"/>
        <v>13108.305730846594</v>
      </c>
    </row>
    <row r="201" spans="1:21">
      <c r="A201" t="s">
        <v>101</v>
      </c>
      <c r="B201" s="2">
        <v>45689</v>
      </c>
      <c r="C201" t="s">
        <v>15</v>
      </c>
      <c r="D201" t="s">
        <v>16</v>
      </c>
      <c r="E201">
        <v>24088.06</v>
      </c>
      <c r="F201">
        <v>3466</v>
      </c>
      <c r="G201">
        <v>0</v>
      </c>
      <c r="H201">
        <v>11</v>
      </c>
      <c r="I201">
        <v>88</v>
      </c>
      <c r="J201">
        <v>0.2</v>
      </c>
      <c r="K201">
        <v>0</v>
      </c>
      <c r="L201">
        <v>3.8</v>
      </c>
      <c r="M201">
        <v>536845.42000000004</v>
      </c>
      <c r="N201">
        <v>107473.75</v>
      </c>
      <c r="O201">
        <f t="shared" si="21"/>
        <v>0.2</v>
      </c>
      <c r="P201">
        <f t="shared" si="22"/>
        <v>3.8</v>
      </c>
      <c r="Q201">
        <f t="shared" si="23"/>
        <v>0</v>
      </c>
      <c r="R201">
        <f t="shared" si="24"/>
        <v>0</v>
      </c>
      <c r="S201">
        <f t="shared" si="25"/>
        <v>0</v>
      </c>
      <c r="T201" s="9">
        <f t="shared" si="26"/>
        <v>523689.04332182324</v>
      </c>
      <c r="U201" s="9">
        <f t="shared" si="27"/>
        <v>13156.376678176806</v>
      </c>
    </row>
    <row r="202" spans="1:21">
      <c r="A202" t="s">
        <v>86</v>
      </c>
      <c r="B202" s="2">
        <v>45689</v>
      </c>
      <c r="C202" t="s">
        <v>24</v>
      </c>
      <c r="D202" t="s">
        <v>28</v>
      </c>
      <c r="E202">
        <v>28670.43</v>
      </c>
      <c r="F202">
        <v>7574</v>
      </c>
      <c r="G202">
        <v>0.114</v>
      </c>
      <c r="H202">
        <v>19</v>
      </c>
      <c r="I202">
        <v>82.7</v>
      </c>
      <c r="J202">
        <v>2.74</v>
      </c>
      <c r="K202">
        <v>0</v>
      </c>
      <c r="L202">
        <v>4.5999999999999996</v>
      </c>
      <c r="M202">
        <v>697888.09</v>
      </c>
      <c r="N202">
        <v>116249.87</v>
      </c>
      <c r="O202">
        <f t="shared" si="21"/>
        <v>2.74</v>
      </c>
      <c r="P202">
        <f t="shared" si="22"/>
        <v>4.5999999999999996</v>
      </c>
      <c r="Q202">
        <f t="shared" si="23"/>
        <v>0</v>
      </c>
      <c r="R202">
        <f t="shared" si="24"/>
        <v>1</v>
      </c>
      <c r="S202">
        <f t="shared" si="25"/>
        <v>0</v>
      </c>
      <c r="T202" s="9">
        <f t="shared" si="26"/>
        <v>684707.96908650198</v>
      </c>
      <c r="U202" s="9">
        <f t="shared" si="27"/>
        <v>13180.120913497987</v>
      </c>
    </row>
    <row r="203" spans="1:21">
      <c r="A203" t="s">
        <v>34</v>
      </c>
      <c r="B203" s="2">
        <v>45689</v>
      </c>
      <c r="C203" t="s">
        <v>20</v>
      </c>
      <c r="D203" t="s">
        <v>28</v>
      </c>
      <c r="E203">
        <v>49710.29</v>
      </c>
      <c r="F203">
        <v>5559</v>
      </c>
      <c r="G203">
        <v>0.218</v>
      </c>
      <c r="H203">
        <v>14</v>
      </c>
      <c r="I203">
        <v>71</v>
      </c>
      <c r="J203">
        <v>9.11</v>
      </c>
      <c r="K203">
        <v>0</v>
      </c>
      <c r="L203">
        <v>4.5999999999999996</v>
      </c>
      <c r="M203">
        <v>603297.56999999995</v>
      </c>
      <c r="N203">
        <v>60592.26</v>
      </c>
      <c r="O203">
        <f t="shared" si="21"/>
        <v>9.11</v>
      </c>
      <c r="P203">
        <f t="shared" si="22"/>
        <v>4.5999999999999996</v>
      </c>
      <c r="Q203">
        <f t="shared" si="23"/>
        <v>1</v>
      </c>
      <c r="R203">
        <f t="shared" si="24"/>
        <v>0</v>
      </c>
      <c r="S203">
        <f t="shared" si="25"/>
        <v>0</v>
      </c>
      <c r="T203" s="9">
        <f t="shared" si="26"/>
        <v>590048.76266225986</v>
      </c>
      <c r="U203" s="9">
        <f t="shared" si="27"/>
        <v>13248.807337740087</v>
      </c>
    </row>
    <row r="204" spans="1:21">
      <c r="A204" t="s">
        <v>82</v>
      </c>
      <c r="B204" s="2">
        <v>45717</v>
      </c>
      <c r="C204" t="s">
        <v>24</v>
      </c>
      <c r="D204" t="s">
        <v>21</v>
      </c>
      <c r="E204">
        <v>70799.64</v>
      </c>
      <c r="F204">
        <v>10076</v>
      </c>
      <c r="G204">
        <v>0.152</v>
      </c>
      <c r="H204">
        <v>24</v>
      </c>
      <c r="I204">
        <v>84.8</v>
      </c>
      <c r="J204">
        <v>1.87</v>
      </c>
      <c r="K204">
        <v>0</v>
      </c>
      <c r="L204">
        <v>3.5</v>
      </c>
      <c r="M204">
        <v>828219.67</v>
      </c>
      <c r="N204">
        <v>179806.87</v>
      </c>
      <c r="O204">
        <f t="shared" si="21"/>
        <v>1.87</v>
      </c>
      <c r="P204">
        <f t="shared" si="22"/>
        <v>3.5</v>
      </c>
      <c r="Q204">
        <f t="shared" si="23"/>
        <v>0</v>
      </c>
      <c r="R204">
        <f t="shared" si="24"/>
        <v>1</v>
      </c>
      <c r="S204">
        <f t="shared" si="25"/>
        <v>0</v>
      </c>
      <c r="T204" s="9">
        <f t="shared" si="26"/>
        <v>814733.06928790896</v>
      </c>
      <c r="U204" s="9">
        <f t="shared" si="27"/>
        <v>13486.60071209108</v>
      </c>
    </row>
    <row r="205" spans="1:21">
      <c r="A205" t="s">
        <v>17</v>
      </c>
      <c r="B205" s="2">
        <v>45717</v>
      </c>
      <c r="C205" t="s">
        <v>15</v>
      </c>
      <c r="D205" t="s">
        <v>18</v>
      </c>
      <c r="E205">
        <v>46213.45</v>
      </c>
      <c r="F205">
        <v>10616</v>
      </c>
      <c r="G205">
        <v>0.122</v>
      </c>
      <c r="H205">
        <v>22</v>
      </c>
      <c r="I205">
        <v>85.2</v>
      </c>
      <c r="J205">
        <v>0.2</v>
      </c>
      <c r="K205">
        <v>1</v>
      </c>
      <c r="L205">
        <v>4.0999999999999996</v>
      </c>
      <c r="M205">
        <v>806615.54</v>
      </c>
      <c r="N205">
        <v>131364.62</v>
      </c>
      <c r="O205">
        <f t="shared" si="21"/>
        <v>0.2</v>
      </c>
      <c r="P205">
        <f t="shared" si="22"/>
        <v>4.0999999999999996</v>
      </c>
      <c r="Q205">
        <f t="shared" si="23"/>
        <v>0</v>
      </c>
      <c r="R205">
        <f t="shared" si="24"/>
        <v>0</v>
      </c>
      <c r="S205">
        <f t="shared" si="25"/>
        <v>0</v>
      </c>
      <c r="T205" s="9">
        <f t="shared" si="26"/>
        <v>792389.49417085177</v>
      </c>
      <c r="U205" s="9">
        <f t="shared" si="27"/>
        <v>14226.045829148265</v>
      </c>
    </row>
    <row r="206" spans="1:21">
      <c r="A206" t="s">
        <v>44</v>
      </c>
      <c r="B206" s="2">
        <v>45717</v>
      </c>
      <c r="C206" t="s">
        <v>24</v>
      </c>
      <c r="D206" t="s">
        <v>28</v>
      </c>
      <c r="E206">
        <v>82116.19</v>
      </c>
      <c r="F206">
        <v>5988</v>
      </c>
      <c r="G206">
        <v>0.04</v>
      </c>
      <c r="H206">
        <v>17</v>
      </c>
      <c r="I206">
        <v>91.8</v>
      </c>
      <c r="J206">
        <v>5.75</v>
      </c>
      <c r="K206">
        <v>0</v>
      </c>
      <c r="L206">
        <v>4.7</v>
      </c>
      <c r="M206">
        <v>739852.58</v>
      </c>
      <c r="N206">
        <v>129386.43</v>
      </c>
      <c r="O206">
        <f t="shared" si="21"/>
        <v>5.75</v>
      </c>
      <c r="P206">
        <f t="shared" si="22"/>
        <v>4.7</v>
      </c>
      <c r="Q206">
        <f t="shared" si="23"/>
        <v>0</v>
      </c>
      <c r="R206">
        <f t="shared" si="24"/>
        <v>1</v>
      </c>
      <c r="S206">
        <f t="shared" si="25"/>
        <v>0</v>
      </c>
      <c r="T206" s="9">
        <f t="shared" si="26"/>
        <v>725357.97086999728</v>
      </c>
      <c r="U206" s="9">
        <f t="shared" si="27"/>
        <v>14494.609130002675</v>
      </c>
    </row>
    <row r="207" spans="1:21">
      <c r="A207" t="s">
        <v>38</v>
      </c>
      <c r="B207" s="2">
        <v>45748</v>
      </c>
      <c r="C207" t="s">
        <v>27</v>
      </c>
      <c r="D207" t="s">
        <v>18</v>
      </c>
      <c r="E207">
        <v>42018.400000000001</v>
      </c>
      <c r="F207">
        <v>8296</v>
      </c>
      <c r="G207">
        <v>0.115</v>
      </c>
      <c r="H207">
        <v>17</v>
      </c>
      <c r="I207">
        <v>91.8</v>
      </c>
      <c r="J207">
        <v>0.77</v>
      </c>
      <c r="K207">
        <v>0</v>
      </c>
      <c r="L207">
        <v>3.4</v>
      </c>
      <c r="M207">
        <v>740496.65</v>
      </c>
      <c r="N207">
        <v>128020.9</v>
      </c>
      <c r="O207">
        <f t="shared" si="21"/>
        <v>0.77</v>
      </c>
      <c r="P207">
        <f t="shared" si="22"/>
        <v>3.4</v>
      </c>
      <c r="Q207">
        <f t="shared" si="23"/>
        <v>0</v>
      </c>
      <c r="R207">
        <f t="shared" si="24"/>
        <v>0</v>
      </c>
      <c r="S207">
        <f t="shared" si="25"/>
        <v>1</v>
      </c>
      <c r="T207" s="9">
        <f t="shared" si="26"/>
        <v>725452.00986210234</v>
      </c>
      <c r="U207" s="9">
        <f t="shared" si="27"/>
        <v>15044.640137897688</v>
      </c>
    </row>
    <row r="208" spans="1:21">
      <c r="A208" t="s">
        <v>68</v>
      </c>
      <c r="B208" s="2">
        <v>45689</v>
      </c>
      <c r="C208" t="s">
        <v>20</v>
      </c>
      <c r="D208" t="s">
        <v>18</v>
      </c>
      <c r="E208">
        <v>57147.88</v>
      </c>
      <c r="F208">
        <v>5252</v>
      </c>
      <c r="G208">
        <v>0.161</v>
      </c>
      <c r="H208">
        <v>15</v>
      </c>
      <c r="I208">
        <v>95.5</v>
      </c>
      <c r="J208">
        <v>8.51</v>
      </c>
      <c r="K208">
        <v>0</v>
      </c>
      <c r="L208">
        <v>4.4000000000000004</v>
      </c>
      <c r="M208">
        <v>678311.17</v>
      </c>
      <c r="N208">
        <v>132029.76000000001</v>
      </c>
      <c r="O208">
        <f t="shared" si="21"/>
        <v>8.51</v>
      </c>
      <c r="P208">
        <f t="shared" si="22"/>
        <v>4.4000000000000004</v>
      </c>
      <c r="Q208">
        <f t="shared" si="23"/>
        <v>1</v>
      </c>
      <c r="R208">
        <f t="shared" si="24"/>
        <v>0</v>
      </c>
      <c r="S208">
        <f t="shared" si="25"/>
        <v>0</v>
      </c>
      <c r="T208" s="9">
        <f t="shared" si="26"/>
        <v>662754.53360309766</v>
      </c>
      <c r="U208" s="9">
        <f t="shared" si="27"/>
        <v>15556.636396902381</v>
      </c>
    </row>
    <row r="209" spans="1:21">
      <c r="A209" t="s">
        <v>69</v>
      </c>
      <c r="B209" s="2">
        <v>45689</v>
      </c>
      <c r="C209" t="s">
        <v>15</v>
      </c>
      <c r="D209" t="s">
        <v>18</v>
      </c>
      <c r="E209">
        <v>55788.61</v>
      </c>
      <c r="F209">
        <v>2312</v>
      </c>
      <c r="G209">
        <v>5.8000000000000003E-2</v>
      </c>
      <c r="H209">
        <v>10</v>
      </c>
      <c r="I209">
        <v>91.3</v>
      </c>
      <c r="J209">
        <v>1.99</v>
      </c>
      <c r="K209">
        <v>0</v>
      </c>
      <c r="L209">
        <v>3.8</v>
      </c>
      <c r="M209">
        <v>550962.93000000005</v>
      </c>
      <c r="N209">
        <v>97144.58</v>
      </c>
      <c r="O209">
        <f t="shared" si="21"/>
        <v>1.99</v>
      </c>
      <c r="P209">
        <f t="shared" si="22"/>
        <v>3.8</v>
      </c>
      <c r="Q209">
        <f t="shared" si="23"/>
        <v>0</v>
      </c>
      <c r="R209">
        <f t="shared" si="24"/>
        <v>0</v>
      </c>
      <c r="S209">
        <f t="shared" si="25"/>
        <v>0</v>
      </c>
      <c r="T209" s="9">
        <f t="shared" si="26"/>
        <v>535330.89274041541</v>
      </c>
      <c r="U209" s="9">
        <f t="shared" si="27"/>
        <v>15632.037259584642</v>
      </c>
    </row>
    <row r="210" spans="1:21">
      <c r="A210" t="s">
        <v>81</v>
      </c>
      <c r="B210" s="2">
        <v>45748</v>
      </c>
      <c r="C210" t="s">
        <v>27</v>
      </c>
      <c r="D210" t="s">
        <v>28</v>
      </c>
      <c r="E210">
        <v>26248.1</v>
      </c>
      <c r="F210">
        <v>9314</v>
      </c>
      <c r="G210">
        <v>0.186</v>
      </c>
      <c r="H210">
        <v>21</v>
      </c>
      <c r="I210">
        <v>83.7</v>
      </c>
      <c r="J210">
        <v>4.62</v>
      </c>
      <c r="K210">
        <v>0</v>
      </c>
      <c r="L210">
        <v>3.3</v>
      </c>
      <c r="M210">
        <v>737070.18</v>
      </c>
      <c r="N210">
        <v>117593.97</v>
      </c>
      <c r="O210">
        <f t="shared" si="21"/>
        <v>4.62</v>
      </c>
      <c r="P210">
        <f t="shared" si="22"/>
        <v>3.3</v>
      </c>
      <c r="Q210">
        <f t="shared" si="23"/>
        <v>0</v>
      </c>
      <c r="R210">
        <f t="shared" si="24"/>
        <v>0</v>
      </c>
      <c r="S210">
        <f t="shared" si="25"/>
        <v>1</v>
      </c>
      <c r="T210" s="9">
        <f t="shared" si="26"/>
        <v>721420.80263676657</v>
      </c>
      <c r="U210" s="9">
        <f t="shared" si="27"/>
        <v>15649.377363233478</v>
      </c>
    </row>
    <row r="211" spans="1:21">
      <c r="A211" t="s">
        <v>32</v>
      </c>
      <c r="B211" s="2">
        <v>45658</v>
      </c>
      <c r="C211" t="s">
        <v>15</v>
      </c>
      <c r="D211" t="s">
        <v>28</v>
      </c>
      <c r="E211">
        <v>40462.94</v>
      </c>
      <c r="F211">
        <v>3660</v>
      </c>
      <c r="G211">
        <v>0.218</v>
      </c>
      <c r="H211">
        <v>11</v>
      </c>
      <c r="I211">
        <v>95.2</v>
      </c>
      <c r="J211">
        <v>5.57</v>
      </c>
      <c r="K211">
        <v>0</v>
      </c>
      <c r="L211">
        <v>4.4000000000000004</v>
      </c>
      <c r="M211">
        <v>592195.85</v>
      </c>
      <c r="N211">
        <v>92291.56</v>
      </c>
      <c r="O211">
        <f t="shared" si="21"/>
        <v>5.57</v>
      </c>
      <c r="P211">
        <f t="shared" si="22"/>
        <v>4.4000000000000004</v>
      </c>
      <c r="Q211">
        <f t="shared" si="23"/>
        <v>0</v>
      </c>
      <c r="R211">
        <f t="shared" si="24"/>
        <v>0</v>
      </c>
      <c r="S211">
        <f t="shared" si="25"/>
        <v>0</v>
      </c>
      <c r="T211" s="9">
        <f t="shared" si="26"/>
        <v>576249.0014097828</v>
      </c>
      <c r="U211" s="9">
        <f t="shared" si="27"/>
        <v>15946.848590217181</v>
      </c>
    </row>
    <row r="212" spans="1:21">
      <c r="A212" t="s">
        <v>26</v>
      </c>
      <c r="B212" s="2">
        <v>45748</v>
      </c>
      <c r="C212" t="s">
        <v>27</v>
      </c>
      <c r="D212" t="s">
        <v>28</v>
      </c>
      <c r="E212">
        <v>52715.1</v>
      </c>
      <c r="F212">
        <v>7223</v>
      </c>
      <c r="G212">
        <v>0.122</v>
      </c>
      <c r="H212">
        <v>16</v>
      </c>
      <c r="I212">
        <v>84.2</v>
      </c>
      <c r="J212">
        <v>16.149999999999999</v>
      </c>
      <c r="K212">
        <v>0</v>
      </c>
      <c r="L212">
        <v>3.7</v>
      </c>
      <c r="M212">
        <v>701641.97</v>
      </c>
      <c r="N212">
        <v>106111.86</v>
      </c>
      <c r="O212">
        <f t="shared" si="21"/>
        <v>16.149999999999999</v>
      </c>
      <c r="P212">
        <f t="shared" si="22"/>
        <v>3.7</v>
      </c>
      <c r="Q212">
        <f t="shared" si="23"/>
        <v>0</v>
      </c>
      <c r="R212">
        <f t="shared" si="24"/>
        <v>0</v>
      </c>
      <c r="S212">
        <f t="shared" si="25"/>
        <v>1</v>
      </c>
      <c r="T212" s="9">
        <f t="shared" si="26"/>
        <v>685393.74744080857</v>
      </c>
      <c r="U212" s="9">
        <f t="shared" si="27"/>
        <v>16248.222559191403</v>
      </c>
    </row>
    <row r="213" spans="1:21">
      <c r="A213" t="s">
        <v>33</v>
      </c>
      <c r="B213" s="2">
        <v>45717</v>
      </c>
      <c r="C213" t="s">
        <v>27</v>
      </c>
      <c r="D213" t="s">
        <v>16</v>
      </c>
      <c r="E213">
        <v>50043.65</v>
      </c>
      <c r="F213">
        <v>3804</v>
      </c>
      <c r="G213">
        <v>0.113</v>
      </c>
      <c r="H213">
        <v>11</v>
      </c>
      <c r="I213">
        <v>90.9</v>
      </c>
      <c r="J213">
        <v>2.7</v>
      </c>
      <c r="K213">
        <v>1</v>
      </c>
      <c r="L213">
        <v>3.2</v>
      </c>
      <c r="M213">
        <v>614800.09</v>
      </c>
      <c r="N213">
        <v>100044.2</v>
      </c>
      <c r="O213">
        <f t="shared" si="21"/>
        <v>2.7</v>
      </c>
      <c r="P213">
        <f t="shared" si="22"/>
        <v>3.2</v>
      </c>
      <c r="Q213">
        <f t="shared" si="23"/>
        <v>0</v>
      </c>
      <c r="R213">
        <f t="shared" si="24"/>
        <v>0</v>
      </c>
      <c r="S213">
        <f t="shared" si="25"/>
        <v>1</v>
      </c>
      <c r="T213" s="9">
        <f t="shared" si="26"/>
        <v>598143.04438190884</v>
      </c>
      <c r="U213" s="9">
        <f t="shared" si="27"/>
        <v>16657.045618091128</v>
      </c>
    </row>
    <row r="214" spans="1:21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  <c r="O214">
        <f t="shared" si="21"/>
        <v>2.8</v>
      </c>
      <c r="P214">
        <f t="shared" si="22"/>
        <v>4.3</v>
      </c>
      <c r="Q214">
        <f t="shared" si="23"/>
        <v>0</v>
      </c>
      <c r="R214">
        <f t="shared" si="24"/>
        <v>0</v>
      </c>
      <c r="S214">
        <f t="shared" si="25"/>
        <v>1</v>
      </c>
      <c r="T214" s="9">
        <f t="shared" si="26"/>
        <v>794670.51633865153</v>
      </c>
      <c r="U214" s="9">
        <f t="shared" si="27"/>
        <v>17482.083661348443</v>
      </c>
    </row>
    <row r="215" spans="1:21">
      <c r="A215" t="s">
        <v>82</v>
      </c>
      <c r="B215" s="2">
        <v>45658</v>
      </c>
      <c r="C215" t="s">
        <v>24</v>
      </c>
      <c r="D215" t="s">
        <v>21</v>
      </c>
      <c r="E215">
        <v>69900.12</v>
      </c>
      <c r="F215">
        <v>8055</v>
      </c>
      <c r="G215">
        <v>0.28100000000000003</v>
      </c>
      <c r="H215">
        <v>22</v>
      </c>
      <c r="I215">
        <v>85.6</v>
      </c>
      <c r="J215">
        <v>10.68</v>
      </c>
      <c r="K215">
        <v>1</v>
      </c>
      <c r="L215">
        <v>2.9</v>
      </c>
      <c r="M215">
        <v>776992.93</v>
      </c>
      <c r="N215">
        <v>101598.32</v>
      </c>
      <c r="O215">
        <f t="shared" si="21"/>
        <v>10.68</v>
      </c>
      <c r="P215">
        <f t="shared" si="22"/>
        <v>2.9</v>
      </c>
      <c r="Q215">
        <f t="shared" si="23"/>
        <v>0</v>
      </c>
      <c r="R215">
        <f t="shared" si="24"/>
        <v>1</v>
      </c>
      <c r="S215">
        <f t="shared" si="25"/>
        <v>0</v>
      </c>
      <c r="T215" s="9">
        <f t="shared" si="26"/>
        <v>759224.28564097034</v>
      </c>
      <c r="U215" s="9">
        <f t="shared" si="27"/>
        <v>17768.644359029713</v>
      </c>
    </row>
    <row r="216" spans="1:21">
      <c r="A216" t="s">
        <v>87</v>
      </c>
      <c r="B216" s="2">
        <v>45748</v>
      </c>
      <c r="C216" t="s">
        <v>27</v>
      </c>
      <c r="D216" t="s">
        <v>18</v>
      </c>
      <c r="E216">
        <v>58688.26</v>
      </c>
      <c r="F216">
        <v>4022</v>
      </c>
      <c r="G216">
        <v>0.217</v>
      </c>
      <c r="H216">
        <v>12</v>
      </c>
      <c r="I216">
        <v>93.8</v>
      </c>
      <c r="J216">
        <v>11.78</v>
      </c>
      <c r="K216">
        <v>0</v>
      </c>
      <c r="L216">
        <v>3.7</v>
      </c>
      <c r="M216">
        <v>636613.23</v>
      </c>
      <c r="N216">
        <v>78908.350000000006</v>
      </c>
      <c r="O216">
        <f t="shared" si="21"/>
        <v>11.78</v>
      </c>
      <c r="P216">
        <f t="shared" si="22"/>
        <v>3.7</v>
      </c>
      <c r="Q216">
        <f t="shared" si="23"/>
        <v>0</v>
      </c>
      <c r="R216">
        <f t="shared" si="24"/>
        <v>0</v>
      </c>
      <c r="S216">
        <f t="shared" si="25"/>
        <v>1</v>
      </c>
      <c r="T216" s="9">
        <f t="shared" si="26"/>
        <v>618164.33859506028</v>
      </c>
      <c r="U216" s="9">
        <f t="shared" si="27"/>
        <v>18448.891404939699</v>
      </c>
    </row>
    <row r="217" spans="1:21">
      <c r="A217" t="s">
        <v>65</v>
      </c>
      <c r="B217" s="2">
        <v>45658</v>
      </c>
      <c r="C217" t="s">
        <v>15</v>
      </c>
      <c r="D217" t="s">
        <v>16</v>
      </c>
      <c r="E217">
        <v>65237.79</v>
      </c>
      <c r="F217">
        <v>8741</v>
      </c>
      <c r="G217">
        <v>0.157</v>
      </c>
      <c r="H217">
        <v>20</v>
      </c>
      <c r="I217">
        <v>94.4</v>
      </c>
      <c r="J217">
        <v>6.43</v>
      </c>
      <c r="K217">
        <v>0</v>
      </c>
      <c r="L217">
        <v>3.3</v>
      </c>
      <c r="M217">
        <v>780344.18</v>
      </c>
      <c r="N217">
        <v>118239.09</v>
      </c>
      <c r="O217">
        <f t="shared" si="21"/>
        <v>6.43</v>
      </c>
      <c r="P217">
        <f t="shared" si="22"/>
        <v>3.3</v>
      </c>
      <c r="Q217">
        <f t="shared" si="23"/>
        <v>0</v>
      </c>
      <c r="R217">
        <f t="shared" si="24"/>
        <v>0</v>
      </c>
      <c r="S217">
        <f t="shared" si="25"/>
        <v>0</v>
      </c>
      <c r="T217" s="9">
        <f t="shared" si="26"/>
        <v>761742.35609991499</v>
      </c>
      <c r="U217" s="9">
        <f t="shared" si="27"/>
        <v>18601.823900085059</v>
      </c>
    </row>
    <row r="218" spans="1:21">
      <c r="A218" t="s">
        <v>59</v>
      </c>
      <c r="B218" s="2">
        <v>45748</v>
      </c>
      <c r="C218" t="s">
        <v>24</v>
      </c>
      <c r="D218" t="s">
        <v>28</v>
      </c>
      <c r="E218">
        <v>71855.09</v>
      </c>
      <c r="F218">
        <v>5911</v>
      </c>
      <c r="G218">
        <v>0.19700000000000001</v>
      </c>
      <c r="H218">
        <v>15</v>
      </c>
      <c r="I218">
        <v>94.3</v>
      </c>
      <c r="J218">
        <v>3.55</v>
      </c>
      <c r="K218">
        <v>0</v>
      </c>
      <c r="L218">
        <v>4.0999999999999996</v>
      </c>
      <c r="M218">
        <v>725847.99</v>
      </c>
      <c r="N218">
        <v>122698.73</v>
      </c>
      <c r="O218">
        <f t="shared" si="21"/>
        <v>3.55</v>
      </c>
      <c r="P218">
        <f t="shared" si="22"/>
        <v>4.0999999999999996</v>
      </c>
      <c r="Q218">
        <f t="shared" si="23"/>
        <v>0</v>
      </c>
      <c r="R218">
        <f t="shared" si="24"/>
        <v>1</v>
      </c>
      <c r="S218">
        <f t="shared" si="25"/>
        <v>0</v>
      </c>
      <c r="T218" s="9">
        <f t="shared" si="26"/>
        <v>706888.95997335273</v>
      </c>
      <c r="U218" s="9">
        <f t="shared" si="27"/>
        <v>18959.030026647262</v>
      </c>
    </row>
    <row r="219" spans="1:21">
      <c r="A219" t="s">
        <v>32</v>
      </c>
      <c r="B219" s="2">
        <v>45748</v>
      </c>
      <c r="C219" t="s">
        <v>15</v>
      </c>
      <c r="D219" t="s">
        <v>28</v>
      </c>
      <c r="E219">
        <v>64882.14</v>
      </c>
      <c r="F219">
        <v>3642</v>
      </c>
      <c r="G219">
        <v>1.9E-2</v>
      </c>
      <c r="H219">
        <v>13</v>
      </c>
      <c r="I219">
        <v>87.8</v>
      </c>
      <c r="J219">
        <v>4.5199999999999996</v>
      </c>
      <c r="K219">
        <v>0</v>
      </c>
      <c r="L219">
        <v>4.2</v>
      </c>
      <c r="M219">
        <v>605178</v>
      </c>
      <c r="N219">
        <v>106958.74</v>
      </c>
      <c r="O219">
        <f t="shared" si="21"/>
        <v>4.5199999999999996</v>
      </c>
      <c r="P219">
        <f t="shared" si="22"/>
        <v>4.2</v>
      </c>
      <c r="Q219">
        <f t="shared" si="23"/>
        <v>0</v>
      </c>
      <c r="R219">
        <f t="shared" si="24"/>
        <v>0</v>
      </c>
      <c r="S219">
        <f t="shared" si="25"/>
        <v>0</v>
      </c>
      <c r="T219" s="9">
        <f t="shared" si="26"/>
        <v>586102.75952787395</v>
      </c>
      <c r="U219" s="9">
        <f t="shared" si="27"/>
        <v>19075.240472126054</v>
      </c>
    </row>
    <row r="220" spans="1:21">
      <c r="A220" t="s">
        <v>91</v>
      </c>
      <c r="B220" s="2">
        <v>45689</v>
      </c>
      <c r="C220" t="s">
        <v>24</v>
      </c>
      <c r="D220" t="s">
        <v>16</v>
      </c>
      <c r="E220">
        <v>36832.33</v>
      </c>
      <c r="F220">
        <v>8001</v>
      </c>
      <c r="G220">
        <v>0</v>
      </c>
      <c r="H220">
        <v>19</v>
      </c>
      <c r="I220">
        <v>88.7</v>
      </c>
      <c r="J220">
        <v>3.39</v>
      </c>
      <c r="K220">
        <v>0</v>
      </c>
      <c r="L220">
        <v>4</v>
      </c>
      <c r="M220">
        <v>738548.42</v>
      </c>
      <c r="N220">
        <v>134282.76999999999</v>
      </c>
      <c r="O220">
        <f t="shared" si="21"/>
        <v>3.39</v>
      </c>
      <c r="P220">
        <f t="shared" si="22"/>
        <v>4</v>
      </c>
      <c r="Q220">
        <f t="shared" si="23"/>
        <v>0</v>
      </c>
      <c r="R220">
        <f t="shared" si="24"/>
        <v>1</v>
      </c>
      <c r="S220">
        <f t="shared" si="25"/>
        <v>0</v>
      </c>
      <c r="T220" s="9">
        <f t="shared" si="26"/>
        <v>718200.58878001524</v>
      </c>
      <c r="U220" s="9">
        <f t="shared" si="27"/>
        <v>20347.831219984801</v>
      </c>
    </row>
    <row r="221" spans="1:21">
      <c r="A221" t="s">
        <v>84</v>
      </c>
      <c r="B221" s="2">
        <v>45658</v>
      </c>
      <c r="C221" t="s">
        <v>20</v>
      </c>
      <c r="D221" t="s">
        <v>18</v>
      </c>
      <c r="E221">
        <v>40923.67</v>
      </c>
      <c r="F221">
        <v>3875</v>
      </c>
      <c r="G221">
        <v>0.15</v>
      </c>
      <c r="H221">
        <v>10</v>
      </c>
      <c r="I221">
        <v>96.1</v>
      </c>
      <c r="K221">
        <v>0</v>
      </c>
      <c r="L221">
        <v>3.8</v>
      </c>
      <c r="M221">
        <v>606783.67000000004</v>
      </c>
      <c r="N221">
        <v>74515.87</v>
      </c>
      <c r="O221">
        <f t="shared" si="21"/>
        <v>0</v>
      </c>
      <c r="P221">
        <f t="shared" si="22"/>
        <v>3.8</v>
      </c>
      <c r="Q221">
        <f t="shared" si="23"/>
        <v>1</v>
      </c>
      <c r="R221">
        <f t="shared" si="24"/>
        <v>0</v>
      </c>
      <c r="S221">
        <f t="shared" si="25"/>
        <v>0</v>
      </c>
      <c r="T221" s="9">
        <f t="shared" si="26"/>
        <v>586351.50931892055</v>
      </c>
      <c r="U221" s="9">
        <f t="shared" si="27"/>
        <v>20432.160681079491</v>
      </c>
    </row>
    <row r="222" spans="1:21">
      <c r="A222" t="s">
        <v>94</v>
      </c>
      <c r="B222" s="2">
        <v>45658</v>
      </c>
      <c r="C222" t="s">
        <v>15</v>
      </c>
      <c r="D222" t="s">
        <v>16</v>
      </c>
      <c r="E222">
        <v>70012.41</v>
      </c>
      <c r="F222">
        <v>8484</v>
      </c>
      <c r="G222">
        <v>0.27300000000000002</v>
      </c>
      <c r="H222">
        <v>23</v>
      </c>
      <c r="I222">
        <v>72.900000000000006</v>
      </c>
      <c r="J222">
        <v>3.34</v>
      </c>
      <c r="K222">
        <v>0</v>
      </c>
      <c r="L222">
        <v>3.7</v>
      </c>
      <c r="M222">
        <v>729424.42</v>
      </c>
      <c r="N222">
        <v>75592.28</v>
      </c>
      <c r="O222">
        <f t="shared" si="21"/>
        <v>3.34</v>
      </c>
      <c r="P222">
        <f t="shared" si="22"/>
        <v>3.7</v>
      </c>
      <c r="Q222">
        <f t="shared" si="23"/>
        <v>0</v>
      </c>
      <c r="R222">
        <f t="shared" si="24"/>
        <v>0</v>
      </c>
      <c r="S222">
        <f t="shared" si="25"/>
        <v>0</v>
      </c>
      <c r="T222" s="9">
        <f t="shared" si="26"/>
        <v>708549.14164380217</v>
      </c>
      <c r="U222" s="9">
        <f t="shared" si="27"/>
        <v>20875.278356197872</v>
      </c>
    </row>
    <row r="223" spans="1:21">
      <c r="A223" t="s">
        <v>57</v>
      </c>
      <c r="B223" s="2">
        <v>45689</v>
      </c>
      <c r="C223" t="s">
        <v>27</v>
      </c>
      <c r="D223" t="s">
        <v>18</v>
      </c>
      <c r="E223">
        <v>45706.49</v>
      </c>
      <c r="F223">
        <v>6704</v>
      </c>
      <c r="G223">
        <v>3.7999999999999999E-2</v>
      </c>
      <c r="H223">
        <v>15</v>
      </c>
      <c r="I223">
        <v>94.2</v>
      </c>
      <c r="J223">
        <v>2.92</v>
      </c>
      <c r="K223">
        <v>0</v>
      </c>
      <c r="L223">
        <v>4.2</v>
      </c>
      <c r="M223">
        <v>715097.57</v>
      </c>
      <c r="N223">
        <v>151875.85999999999</v>
      </c>
      <c r="O223">
        <f t="shared" si="21"/>
        <v>2.92</v>
      </c>
      <c r="P223">
        <f t="shared" si="22"/>
        <v>4.2</v>
      </c>
      <c r="Q223">
        <f t="shared" si="23"/>
        <v>0</v>
      </c>
      <c r="R223">
        <f t="shared" si="24"/>
        <v>0</v>
      </c>
      <c r="S223">
        <f t="shared" si="25"/>
        <v>1</v>
      </c>
      <c r="T223" s="9">
        <f t="shared" si="26"/>
        <v>694155.27858133311</v>
      </c>
      <c r="U223" s="9">
        <f t="shared" si="27"/>
        <v>20942.291418666835</v>
      </c>
    </row>
    <row r="224" spans="1:21">
      <c r="A224" t="s">
        <v>56</v>
      </c>
      <c r="B224" s="2">
        <v>45689</v>
      </c>
      <c r="C224" t="s">
        <v>24</v>
      </c>
      <c r="D224" t="s">
        <v>16</v>
      </c>
      <c r="E224">
        <v>75109.67</v>
      </c>
      <c r="F224">
        <v>6244</v>
      </c>
      <c r="G224">
        <v>7.9000000000000001E-2</v>
      </c>
      <c r="H224">
        <v>15</v>
      </c>
      <c r="I224">
        <v>96.3</v>
      </c>
      <c r="J224">
        <v>7.38</v>
      </c>
      <c r="K224">
        <v>0</v>
      </c>
      <c r="L224">
        <v>3.7</v>
      </c>
      <c r="M224">
        <v>743348.84</v>
      </c>
      <c r="N224">
        <v>104186.09</v>
      </c>
      <c r="O224">
        <f t="shared" si="21"/>
        <v>7.38</v>
      </c>
      <c r="P224">
        <f t="shared" si="22"/>
        <v>3.7</v>
      </c>
      <c r="Q224">
        <f t="shared" si="23"/>
        <v>0</v>
      </c>
      <c r="R224">
        <f t="shared" si="24"/>
        <v>1</v>
      </c>
      <c r="S224">
        <f t="shared" si="25"/>
        <v>0</v>
      </c>
      <c r="T224" s="9">
        <f t="shared" si="26"/>
        <v>722111.79874589667</v>
      </c>
      <c r="U224" s="9">
        <f t="shared" si="27"/>
        <v>21237.0412541033</v>
      </c>
    </row>
    <row r="225" spans="1:21">
      <c r="A225" t="s">
        <v>44</v>
      </c>
      <c r="B225" s="2">
        <v>45658</v>
      </c>
      <c r="C225" t="s">
        <v>24</v>
      </c>
      <c r="D225" t="s">
        <v>28</v>
      </c>
      <c r="E225">
        <v>50517.94</v>
      </c>
      <c r="F225">
        <v>7024</v>
      </c>
      <c r="G225">
        <v>2.9000000000000001E-2</v>
      </c>
      <c r="H225">
        <v>18</v>
      </c>
      <c r="I225">
        <v>79.2</v>
      </c>
      <c r="J225">
        <v>6.61</v>
      </c>
      <c r="K225">
        <v>1</v>
      </c>
      <c r="L225">
        <v>4.0999999999999996</v>
      </c>
      <c r="M225">
        <v>711213.46</v>
      </c>
      <c r="N225">
        <v>105863.26</v>
      </c>
      <c r="O225">
        <f t="shared" si="21"/>
        <v>6.61</v>
      </c>
      <c r="P225">
        <f t="shared" si="22"/>
        <v>4.0999999999999996</v>
      </c>
      <c r="Q225">
        <f t="shared" si="23"/>
        <v>0</v>
      </c>
      <c r="R225">
        <f t="shared" si="24"/>
        <v>1</v>
      </c>
      <c r="S225">
        <f t="shared" si="25"/>
        <v>0</v>
      </c>
      <c r="T225" s="9">
        <f t="shared" si="26"/>
        <v>689682.49828049284</v>
      </c>
      <c r="U225" s="9">
        <f t="shared" si="27"/>
        <v>21530.961719507119</v>
      </c>
    </row>
    <row r="226" spans="1:21">
      <c r="A226" t="s">
        <v>83</v>
      </c>
      <c r="B226" s="2">
        <v>45689</v>
      </c>
      <c r="C226" t="s">
        <v>15</v>
      </c>
      <c r="D226" t="s">
        <v>18</v>
      </c>
      <c r="E226">
        <v>48060.78</v>
      </c>
      <c r="F226">
        <v>8733</v>
      </c>
      <c r="G226">
        <v>0</v>
      </c>
      <c r="H226">
        <v>20</v>
      </c>
      <c r="I226">
        <v>89.9</v>
      </c>
      <c r="J226">
        <v>0.8</v>
      </c>
      <c r="K226">
        <v>0</v>
      </c>
      <c r="L226">
        <v>3.4</v>
      </c>
      <c r="M226">
        <v>750471.34</v>
      </c>
      <c r="N226">
        <v>133788.04</v>
      </c>
      <c r="O226">
        <f t="shared" si="21"/>
        <v>0.8</v>
      </c>
      <c r="P226">
        <f t="shared" si="22"/>
        <v>3.4</v>
      </c>
      <c r="Q226">
        <f t="shared" si="23"/>
        <v>0</v>
      </c>
      <c r="R226">
        <f t="shared" si="24"/>
        <v>0</v>
      </c>
      <c r="S226">
        <f t="shared" si="25"/>
        <v>0</v>
      </c>
      <c r="T226" s="9">
        <f t="shared" si="26"/>
        <v>728818.25946077704</v>
      </c>
      <c r="U226" s="9">
        <f t="shared" si="27"/>
        <v>21653.080539222923</v>
      </c>
    </row>
    <row r="227" spans="1:21">
      <c r="A227" t="s">
        <v>22</v>
      </c>
      <c r="B227" s="2">
        <v>45748</v>
      </c>
      <c r="C227" t="s">
        <v>15</v>
      </c>
      <c r="D227" t="s">
        <v>16</v>
      </c>
      <c r="E227">
        <v>75305.710000000006</v>
      </c>
      <c r="F227">
        <v>10940</v>
      </c>
      <c r="G227">
        <v>6.0000000000000001E-3</v>
      </c>
      <c r="H227">
        <v>26</v>
      </c>
      <c r="I227">
        <v>76.5</v>
      </c>
      <c r="J227">
        <v>1.32</v>
      </c>
      <c r="K227">
        <v>0</v>
      </c>
      <c r="L227">
        <v>4.5</v>
      </c>
      <c r="M227">
        <v>834017.02</v>
      </c>
      <c r="N227">
        <v>114745.03</v>
      </c>
      <c r="O227">
        <f t="shared" si="21"/>
        <v>1.32</v>
      </c>
      <c r="P227">
        <f t="shared" si="22"/>
        <v>4.5</v>
      </c>
      <c r="Q227">
        <f t="shared" si="23"/>
        <v>0</v>
      </c>
      <c r="R227">
        <f t="shared" si="24"/>
        <v>0</v>
      </c>
      <c r="S227">
        <f t="shared" si="25"/>
        <v>0</v>
      </c>
      <c r="T227" s="9">
        <f t="shared" si="26"/>
        <v>812347.06478629611</v>
      </c>
      <c r="U227" s="9">
        <f t="shared" si="27"/>
        <v>21669.955213703914</v>
      </c>
    </row>
    <row r="228" spans="1:21">
      <c r="A228" t="s">
        <v>76</v>
      </c>
      <c r="B228" s="2">
        <v>45748</v>
      </c>
      <c r="C228" t="s">
        <v>20</v>
      </c>
      <c r="D228" t="s">
        <v>21</v>
      </c>
      <c r="E228">
        <v>16451.849999999999</v>
      </c>
      <c r="F228">
        <v>4678</v>
      </c>
      <c r="G228">
        <v>0.13300000000000001</v>
      </c>
      <c r="H228">
        <v>11</v>
      </c>
      <c r="I228">
        <v>95.9</v>
      </c>
      <c r="J228">
        <v>3.1</v>
      </c>
      <c r="K228">
        <v>0</v>
      </c>
      <c r="L228">
        <v>3.9</v>
      </c>
      <c r="M228">
        <v>606278.30000000005</v>
      </c>
      <c r="N228">
        <v>102213.26</v>
      </c>
      <c r="O228">
        <f t="shared" si="21"/>
        <v>3.1</v>
      </c>
      <c r="P228">
        <f t="shared" si="22"/>
        <v>3.9</v>
      </c>
      <c r="Q228">
        <f t="shared" si="23"/>
        <v>1</v>
      </c>
      <c r="R228">
        <f t="shared" si="24"/>
        <v>0</v>
      </c>
      <c r="S228">
        <f t="shared" si="25"/>
        <v>0</v>
      </c>
      <c r="T228" s="9">
        <f t="shared" si="26"/>
        <v>583374.33490979404</v>
      </c>
      <c r="U228" s="9">
        <f t="shared" si="27"/>
        <v>22903.965090206009</v>
      </c>
    </row>
    <row r="229" spans="1:21">
      <c r="A229" t="s">
        <v>32</v>
      </c>
      <c r="B229" s="2">
        <v>45689</v>
      </c>
      <c r="C229" t="s">
        <v>15</v>
      </c>
      <c r="D229" t="s">
        <v>28</v>
      </c>
      <c r="E229">
        <v>46123.88</v>
      </c>
      <c r="F229">
        <v>3227</v>
      </c>
      <c r="G229">
        <v>0.14299999999999999</v>
      </c>
      <c r="H229">
        <v>10</v>
      </c>
      <c r="I229">
        <v>75.400000000000006</v>
      </c>
      <c r="J229">
        <v>1.06</v>
      </c>
      <c r="K229">
        <v>0</v>
      </c>
      <c r="L229">
        <v>4.4000000000000004</v>
      </c>
      <c r="M229">
        <v>532644.46</v>
      </c>
      <c r="N229">
        <v>60681.32</v>
      </c>
      <c r="O229">
        <f t="shared" si="21"/>
        <v>1.06</v>
      </c>
      <c r="P229">
        <f t="shared" si="22"/>
        <v>4.4000000000000004</v>
      </c>
      <c r="Q229">
        <f t="shared" si="23"/>
        <v>0</v>
      </c>
      <c r="R229">
        <f t="shared" si="24"/>
        <v>0</v>
      </c>
      <c r="S229">
        <f t="shared" si="25"/>
        <v>0</v>
      </c>
      <c r="T229" s="9">
        <f t="shared" si="26"/>
        <v>509582.18279233377</v>
      </c>
      <c r="U229" s="9">
        <f t="shared" si="27"/>
        <v>23062.277207666193</v>
      </c>
    </row>
    <row r="230" spans="1:21">
      <c r="A230" t="s">
        <v>78</v>
      </c>
      <c r="B230" s="2">
        <v>45689</v>
      </c>
      <c r="C230" t="s">
        <v>15</v>
      </c>
      <c r="D230" t="s">
        <v>28</v>
      </c>
      <c r="E230">
        <v>57225.98</v>
      </c>
      <c r="F230">
        <v>2842</v>
      </c>
      <c r="G230">
        <v>0.112</v>
      </c>
      <c r="H230">
        <v>10</v>
      </c>
      <c r="I230">
        <v>79.5</v>
      </c>
      <c r="J230">
        <v>5.45</v>
      </c>
      <c r="K230">
        <v>0</v>
      </c>
      <c r="L230">
        <v>3.4</v>
      </c>
      <c r="M230">
        <v>536545.49</v>
      </c>
      <c r="N230">
        <v>97917.45</v>
      </c>
      <c r="O230">
        <f t="shared" si="21"/>
        <v>5.45</v>
      </c>
      <c r="P230">
        <f t="shared" si="22"/>
        <v>3.4</v>
      </c>
      <c r="Q230">
        <f t="shared" si="23"/>
        <v>0</v>
      </c>
      <c r="R230">
        <f t="shared" si="24"/>
        <v>0</v>
      </c>
      <c r="S230">
        <f t="shared" si="25"/>
        <v>0</v>
      </c>
      <c r="T230" s="9">
        <f t="shared" si="26"/>
        <v>513404.18447516428</v>
      </c>
      <c r="U230" s="9">
        <f t="shared" si="27"/>
        <v>23141.305524835712</v>
      </c>
    </row>
    <row r="231" spans="1:21">
      <c r="A231" t="s">
        <v>100</v>
      </c>
      <c r="B231" s="2">
        <v>45658</v>
      </c>
      <c r="C231" t="s">
        <v>20</v>
      </c>
      <c r="D231" t="s">
        <v>16</v>
      </c>
      <c r="E231">
        <v>78967.520000000004</v>
      </c>
      <c r="F231">
        <v>6164</v>
      </c>
      <c r="G231">
        <v>2.1000000000000001E-2</v>
      </c>
      <c r="H231">
        <v>16</v>
      </c>
      <c r="I231">
        <v>85.5</v>
      </c>
      <c r="J231">
        <v>0.2</v>
      </c>
      <c r="K231">
        <v>0</v>
      </c>
      <c r="L231">
        <v>3.4</v>
      </c>
      <c r="M231">
        <v>702052.47</v>
      </c>
      <c r="N231">
        <v>121732.51</v>
      </c>
      <c r="O231">
        <f t="shared" si="21"/>
        <v>0.2</v>
      </c>
      <c r="P231">
        <f t="shared" si="22"/>
        <v>3.4</v>
      </c>
      <c r="Q231">
        <f t="shared" si="23"/>
        <v>1</v>
      </c>
      <c r="R231">
        <f t="shared" si="24"/>
        <v>0</v>
      </c>
      <c r="S231">
        <f t="shared" si="25"/>
        <v>0</v>
      </c>
      <c r="T231" s="9">
        <f t="shared" si="26"/>
        <v>677787.01193164685</v>
      </c>
      <c r="U231" s="9">
        <f t="shared" si="27"/>
        <v>24265.458068353124</v>
      </c>
    </row>
    <row r="232" spans="1:21">
      <c r="A232" t="s">
        <v>98</v>
      </c>
      <c r="B232" s="2">
        <v>45717</v>
      </c>
      <c r="C232" t="s">
        <v>24</v>
      </c>
      <c r="D232" t="s">
        <v>16</v>
      </c>
      <c r="E232">
        <v>22387.26</v>
      </c>
      <c r="F232">
        <v>6301</v>
      </c>
      <c r="G232">
        <v>0.14599999999999999</v>
      </c>
      <c r="H232">
        <v>14</v>
      </c>
      <c r="I232">
        <v>85.9</v>
      </c>
      <c r="J232">
        <v>1.17</v>
      </c>
      <c r="K232">
        <v>1</v>
      </c>
      <c r="L232">
        <v>3.7</v>
      </c>
      <c r="M232">
        <v>665342.49</v>
      </c>
      <c r="N232">
        <v>93441.81</v>
      </c>
      <c r="O232">
        <f t="shared" si="21"/>
        <v>1.17</v>
      </c>
      <c r="P232">
        <f t="shared" si="22"/>
        <v>3.7</v>
      </c>
      <c r="Q232">
        <f t="shared" si="23"/>
        <v>0</v>
      </c>
      <c r="R232">
        <f t="shared" si="24"/>
        <v>1</v>
      </c>
      <c r="S232">
        <f t="shared" si="25"/>
        <v>0</v>
      </c>
      <c r="T232" s="9">
        <f t="shared" si="26"/>
        <v>640583.34876065445</v>
      </c>
      <c r="U232" s="9">
        <f t="shared" si="27"/>
        <v>24759.141239345539</v>
      </c>
    </row>
    <row r="233" spans="1:21">
      <c r="A233" t="s">
        <v>35</v>
      </c>
      <c r="B233" s="2">
        <v>45689</v>
      </c>
      <c r="C233" t="s">
        <v>27</v>
      </c>
      <c r="D233" t="s">
        <v>18</v>
      </c>
      <c r="E233">
        <v>99874.01</v>
      </c>
      <c r="F233">
        <v>5887</v>
      </c>
      <c r="G233">
        <v>0.26200000000000001</v>
      </c>
      <c r="H233">
        <v>14</v>
      </c>
      <c r="I233">
        <v>88.7</v>
      </c>
      <c r="J233">
        <v>6.18</v>
      </c>
      <c r="K233">
        <v>0</v>
      </c>
      <c r="L233">
        <v>4.7</v>
      </c>
      <c r="M233">
        <v>746677.75</v>
      </c>
      <c r="N233">
        <v>122437.84</v>
      </c>
      <c r="O233">
        <f t="shared" si="21"/>
        <v>6.18</v>
      </c>
      <c r="P233">
        <f t="shared" si="22"/>
        <v>4.7</v>
      </c>
      <c r="Q233">
        <f t="shared" si="23"/>
        <v>0</v>
      </c>
      <c r="R233">
        <f t="shared" si="24"/>
        <v>0</v>
      </c>
      <c r="S233">
        <f t="shared" si="25"/>
        <v>1</v>
      </c>
      <c r="T233" s="9">
        <f t="shared" si="26"/>
        <v>721554.52756875986</v>
      </c>
      <c r="U233" s="9">
        <f t="shared" si="27"/>
        <v>25123.222431240138</v>
      </c>
    </row>
    <row r="234" spans="1:21">
      <c r="A234" t="s">
        <v>66</v>
      </c>
      <c r="B234" s="2">
        <v>45658</v>
      </c>
      <c r="C234" t="s">
        <v>27</v>
      </c>
      <c r="D234" t="s">
        <v>21</v>
      </c>
      <c r="E234">
        <v>67494.09</v>
      </c>
      <c r="F234">
        <v>12361</v>
      </c>
      <c r="G234">
        <v>4.5999999999999999E-2</v>
      </c>
      <c r="H234">
        <v>24</v>
      </c>
      <c r="I234">
        <v>76.599999999999994</v>
      </c>
      <c r="J234">
        <v>3.65</v>
      </c>
      <c r="K234">
        <v>1</v>
      </c>
      <c r="L234">
        <v>3.7</v>
      </c>
      <c r="M234">
        <v>887537.75</v>
      </c>
      <c r="N234">
        <v>160362.92000000001</v>
      </c>
      <c r="O234">
        <f t="shared" si="21"/>
        <v>3.65</v>
      </c>
      <c r="P234">
        <f t="shared" si="22"/>
        <v>3.7</v>
      </c>
      <c r="Q234">
        <f t="shared" si="23"/>
        <v>0</v>
      </c>
      <c r="R234">
        <f t="shared" si="24"/>
        <v>0</v>
      </c>
      <c r="S234">
        <f t="shared" si="25"/>
        <v>1</v>
      </c>
      <c r="T234" s="9">
        <f t="shared" si="26"/>
        <v>862313.10094240669</v>
      </c>
      <c r="U234" s="9">
        <f t="shared" si="27"/>
        <v>25224.649057593313</v>
      </c>
    </row>
    <row r="235" spans="1:21">
      <c r="A235" t="s">
        <v>22</v>
      </c>
      <c r="B235" s="2">
        <v>45658</v>
      </c>
      <c r="C235" t="s">
        <v>15</v>
      </c>
      <c r="D235" t="s">
        <v>16</v>
      </c>
      <c r="E235">
        <v>71828.259999999995</v>
      </c>
      <c r="F235">
        <v>12775</v>
      </c>
      <c r="G235">
        <v>0.11600000000000001</v>
      </c>
      <c r="H235">
        <v>30</v>
      </c>
      <c r="I235">
        <v>81.7</v>
      </c>
      <c r="J235">
        <v>4.24</v>
      </c>
      <c r="K235">
        <v>1</v>
      </c>
      <c r="L235">
        <v>4.2</v>
      </c>
      <c r="M235">
        <v>922168.6</v>
      </c>
      <c r="N235">
        <v>107494.53</v>
      </c>
      <c r="O235">
        <f t="shared" si="21"/>
        <v>4.24</v>
      </c>
      <c r="P235">
        <f t="shared" si="22"/>
        <v>4.2</v>
      </c>
      <c r="Q235">
        <f t="shared" si="23"/>
        <v>0</v>
      </c>
      <c r="R235">
        <f t="shared" si="24"/>
        <v>0</v>
      </c>
      <c r="S235">
        <f t="shared" si="25"/>
        <v>0</v>
      </c>
      <c r="T235" s="9">
        <f t="shared" si="26"/>
        <v>896532.34432436037</v>
      </c>
      <c r="U235" s="9">
        <f t="shared" si="27"/>
        <v>25636.255675639608</v>
      </c>
    </row>
    <row r="236" spans="1:21">
      <c r="A236" t="s">
        <v>42</v>
      </c>
      <c r="B236" s="2">
        <v>45748</v>
      </c>
      <c r="C236" t="s">
        <v>27</v>
      </c>
      <c r="D236" t="s">
        <v>28</v>
      </c>
      <c r="E236">
        <v>36475.71</v>
      </c>
      <c r="F236">
        <v>3559</v>
      </c>
      <c r="G236">
        <v>0.03</v>
      </c>
      <c r="H236">
        <v>8</v>
      </c>
      <c r="I236">
        <v>83.6</v>
      </c>
      <c r="J236">
        <v>1.41</v>
      </c>
      <c r="K236">
        <v>0</v>
      </c>
      <c r="L236">
        <v>4.2</v>
      </c>
      <c r="M236">
        <v>569100.78</v>
      </c>
      <c r="N236">
        <v>104808.78</v>
      </c>
      <c r="O236">
        <f t="shared" si="21"/>
        <v>1.41</v>
      </c>
      <c r="P236">
        <f t="shared" si="22"/>
        <v>4.2</v>
      </c>
      <c r="Q236">
        <f t="shared" si="23"/>
        <v>0</v>
      </c>
      <c r="R236">
        <f t="shared" si="24"/>
        <v>0</v>
      </c>
      <c r="S236">
        <f t="shared" si="25"/>
        <v>1</v>
      </c>
      <c r="T236" s="9">
        <f t="shared" si="26"/>
        <v>543164.28938169614</v>
      </c>
      <c r="U236" s="9">
        <f t="shared" si="27"/>
        <v>25936.490618303884</v>
      </c>
    </row>
    <row r="237" spans="1:21">
      <c r="A237" t="s">
        <v>98</v>
      </c>
      <c r="B237" s="2">
        <v>45658</v>
      </c>
      <c r="C237" t="s">
        <v>24</v>
      </c>
      <c r="D237" t="s">
        <v>16</v>
      </c>
      <c r="E237">
        <v>54948.02</v>
      </c>
      <c r="F237">
        <v>6534</v>
      </c>
      <c r="G237">
        <v>0.183</v>
      </c>
      <c r="H237">
        <v>14</v>
      </c>
      <c r="I237">
        <v>94.5</v>
      </c>
      <c r="J237">
        <v>1.56</v>
      </c>
      <c r="K237">
        <v>0</v>
      </c>
      <c r="L237">
        <v>4</v>
      </c>
      <c r="M237">
        <v>727957.48</v>
      </c>
      <c r="N237">
        <v>74805.23</v>
      </c>
      <c r="O237">
        <f t="shared" si="21"/>
        <v>1.56</v>
      </c>
      <c r="P237">
        <f t="shared" si="22"/>
        <v>4</v>
      </c>
      <c r="Q237">
        <f t="shared" si="23"/>
        <v>0</v>
      </c>
      <c r="R237">
        <f t="shared" si="24"/>
        <v>1</v>
      </c>
      <c r="S237">
        <f t="shared" si="25"/>
        <v>0</v>
      </c>
      <c r="T237" s="9">
        <f t="shared" si="26"/>
        <v>701682.69100311981</v>
      </c>
      <c r="U237" s="9">
        <f t="shared" si="27"/>
        <v>26274.788996880176</v>
      </c>
    </row>
    <row r="238" spans="1:21">
      <c r="A238" t="s">
        <v>100</v>
      </c>
      <c r="B238" s="2">
        <v>45748</v>
      </c>
      <c r="C238" t="s">
        <v>20</v>
      </c>
      <c r="D238" t="s">
        <v>16</v>
      </c>
      <c r="E238">
        <v>66456.28</v>
      </c>
      <c r="F238">
        <v>9967</v>
      </c>
      <c r="G238">
        <v>0.108</v>
      </c>
      <c r="H238">
        <v>20</v>
      </c>
      <c r="I238">
        <v>94.7</v>
      </c>
      <c r="J238">
        <v>4.4800000000000004</v>
      </c>
      <c r="K238">
        <v>0</v>
      </c>
      <c r="L238">
        <v>4.2</v>
      </c>
      <c r="M238">
        <v>844710.67</v>
      </c>
      <c r="N238">
        <v>137140.18</v>
      </c>
      <c r="O238">
        <f t="shared" si="21"/>
        <v>4.4800000000000004</v>
      </c>
      <c r="P238">
        <f t="shared" si="22"/>
        <v>4.2</v>
      </c>
      <c r="Q238">
        <f t="shared" si="23"/>
        <v>1</v>
      </c>
      <c r="R238">
        <f t="shared" si="24"/>
        <v>0</v>
      </c>
      <c r="S238">
        <f t="shared" si="25"/>
        <v>0</v>
      </c>
      <c r="T238" s="9">
        <f t="shared" si="26"/>
        <v>818297.67355052021</v>
      </c>
      <c r="U238" s="9">
        <f t="shared" si="27"/>
        <v>26412.996449479833</v>
      </c>
    </row>
    <row r="239" spans="1:21">
      <c r="A239" t="s">
        <v>59</v>
      </c>
      <c r="B239" s="2">
        <v>45717</v>
      </c>
      <c r="C239" t="s">
        <v>24</v>
      </c>
      <c r="D239" t="s">
        <v>28</v>
      </c>
      <c r="E239">
        <v>47093.55</v>
      </c>
      <c r="F239">
        <v>5550</v>
      </c>
      <c r="G239">
        <v>0.1</v>
      </c>
      <c r="H239">
        <v>12</v>
      </c>
      <c r="I239">
        <v>95</v>
      </c>
      <c r="J239">
        <v>2.33</v>
      </c>
      <c r="K239">
        <v>1</v>
      </c>
      <c r="L239">
        <v>3.7</v>
      </c>
      <c r="M239">
        <v>696744.15</v>
      </c>
      <c r="N239">
        <v>152230.09</v>
      </c>
      <c r="O239">
        <f t="shared" si="21"/>
        <v>2.33</v>
      </c>
      <c r="P239">
        <f t="shared" si="22"/>
        <v>3.7</v>
      </c>
      <c r="Q239">
        <f t="shared" si="23"/>
        <v>0</v>
      </c>
      <c r="R239">
        <f t="shared" si="24"/>
        <v>1</v>
      </c>
      <c r="S239">
        <f t="shared" si="25"/>
        <v>0</v>
      </c>
      <c r="T239" s="9">
        <f t="shared" si="26"/>
        <v>670028.03539457032</v>
      </c>
      <c r="U239" s="9">
        <f t="shared" si="27"/>
        <v>26716.114605429699</v>
      </c>
    </row>
    <row r="240" spans="1:21">
      <c r="A240" t="s">
        <v>49</v>
      </c>
      <c r="B240" s="2">
        <v>45689</v>
      </c>
      <c r="C240" t="s">
        <v>15</v>
      </c>
      <c r="D240" t="s">
        <v>28</v>
      </c>
      <c r="E240">
        <v>69411.7</v>
      </c>
      <c r="F240">
        <v>5493</v>
      </c>
      <c r="G240">
        <v>0.29199999999999998</v>
      </c>
      <c r="H240">
        <v>13</v>
      </c>
      <c r="I240">
        <v>86.5</v>
      </c>
      <c r="J240">
        <v>6.69</v>
      </c>
      <c r="K240">
        <v>0</v>
      </c>
      <c r="L240">
        <v>3.8</v>
      </c>
      <c r="M240">
        <v>664162.49</v>
      </c>
      <c r="N240">
        <v>98291.06</v>
      </c>
      <c r="O240">
        <f t="shared" si="21"/>
        <v>6.69</v>
      </c>
      <c r="P240">
        <f t="shared" si="22"/>
        <v>3.8</v>
      </c>
      <c r="Q240">
        <f t="shared" si="23"/>
        <v>0</v>
      </c>
      <c r="R240">
        <f t="shared" si="24"/>
        <v>0</v>
      </c>
      <c r="S240">
        <f t="shared" si="25"/>
        <v>0</v>
      </c>
      <c r="T240" s="9">
        <f t="shared" si="26"/>
        <v>636905.56349601632</v>
      </c>
      <c r="U240" s="9">
        <f t="shared" si="27"/>
        <v>27256.926503983676</v>
      </c>
    </row>
    <row r="241" spans="1:21">
      <c r="A241" t="s">
        <v>84</v>
      </c>
      <c r="B241" s="2">
        <v>45748</v>
      </c>
      <c r="C241" t="s">
        <v>20</v>
      </c>
      <c r="D241" t="s">
        <v>18</v>
      </c>
      <c r="E241">
        <v>97480.94</v>
      </c>
      <c r="F241">
        <v>6840</v>
      </c>
      <c r="G241">
        <v>8.6999999999999994E-2</v>
      </c>
      <c r="H241">
        <v>14</v>
      </c>
      <c r="I241">
        <v>79.2</v>
      </c>
      <c r="J241">
        <v>1.1399999999999999</v>
      </c>
      <c r="K241">
        <v>0</v>
      </c>
      <c r="L241">
        <v>4</v>
      </c>
      <c r="M241">
        <v>729440.45</v>
      </c>
      <c r="N241">
        <v>87614.29</v>
      </c>
      <c r="O241">
        <f t="shared" si="21"/>
        <v>1.1399999999999999</v>
      </c>
      <c r="P241">
        <f t="shared" si="22"/>
        <v>4</v>
      </c>
      <c r="Q241">
        <f t="shared" si="23"/>
        <v>1</v>
      </c>
      <c r="R241">
        <f t="shared" si="24"/>
        <v>0</v>
      </c>
      <c r="S241">
        <f t="shared" si="25"/>
        <v>0</v>
      </c>
      <c r="T241" s="9">
        <f t="shared" si="26"/>
        <v>701862.15731393092</v>
      </c>
      <c r="U241" s="9">
        <f t="shared" si="27"/>
        <v>27578.292686069035</v>
      </c>
    </row>
    <row r="242" spans="1:21">
      <c r="A242" t="s">
        <v>34</v>
      </c>
      <c r="B242" s="2">
        <v>45717</v>
      </c>
      <c r="C242" t="s">
        <v>20</v>
      </c>
      <c r="D242" t="s">
        <v>28</v>
      </c>
      <c r="E242">
        <v>48287.85</v>
      </c>
      <c r="F242">
        <v>5150</v>
      </c>
      <c r="G242">
        <v>8.0000000000000002E-3</v>
      </c>
      <c r="H242">
        <v>12</v>
      </c>
      <c r="I242">
        <v>80.400000000000006</v>
      </c>
      <c r="J242">
        <v>7.4</v>
      </c>
      <c r="K242">
        <v>0</v>
      </c>
      <c r="L242">
        <v>4.5</v>
      </c>
      <c r="M242">
        <v>625672.86</v>
      </c>
      <c r="N242">
        <v>118020.12</v>
      </c>
      <c r="O242">
        <f t="shared" si="21"/>
        <v>7.4</v>
      </c>
      <c r="P242">
        <f t="shared" si="22"/>
        <v>4.5</v>
      </c>
      <c r="Q242">
        <f t="shared" si="23"/>
        <v>1</v>
      </c>
      <c r="R242">
        <f t="shared" si="24"/>
        <v>0</v>
      </c>
      <c r="S242">
        <f t="shared" si="25"/>
        <v>0</v>
      </c>
      <c r="T242" s="9">
        <f t="shared" si="26"/>
        <v>598063.60621772998</v>
      </c>
      <c r="U242" s="9">
        <f t="shared" si="27"/>
        <v>27609.253782270011</v>
      </c>
    </row>
    <row r="243" spans="1:21">
      <c r="A243" t="s">
        <v>88</v>
      </c>
      <c r="B243" s="2">
        <v>45717</v>
      </c>
      <c r="C243" t="s">
        <v>15</v>
      </c>
      <c r="D243" t="s">
        <v>18</v>
      </c>
      <c r="E243">
        <v>56602.39</v>
      </c>
      <c r="F243">
        <v>7969</v>
      </c>
      <c r="G243">
        <v>0.17</v>
      </c>
      <c r="H243">
        <v>21</v>
      </c>
      <c r="I243">
        <v>88.3</v>
      </c>
      <c r="J243">
        <v>2.25</v>
      </c>
      <c r="K243">
        <v>0</v>
      </c>
      <c r="L243">
        <v>3.7</v>
      </c>
      <c r="M243">
        <v>745580.51</v>
      </c>
      <c r="N243">
        <v>116273.68</v>
      </c>
      <c r="O243">
        <f t="shared" si="21"/>
        <v>2.25</v>
      </c>
      <c r="P243">
        <f t="shared" si="22"/>
        <v>3.7</v>
      </c>
      <c r="Q243">
        <f t="shared" si="23"/>
        <v>0</v>
      </c>
      <c r="R243">
        <f t="shared" si="24"/>
        <v>0</v>
      </c>
      <c r="S243">
        <f t="shared" si="25"/>
        <v>0</v>
      </c>
      <c r="T243" s="9">
        <f t="shared" si="26"/>
        <v>717939.44681533042</v>
      </c>
      <c r="U243" s="9">
        <f t="shared" si="27"/>
        <v>27641.063184669591</v>
      </c>
    </row>
    <row r="244" spans="1:21">
      <c r="A244" t="s">
        <v>44</v>
      </c>
      <c r="B244" s="2">
        <v>45748</v>
      </c>
      <c r="C244" t="s">
        <v>24</v>
      </c>
      <c r="D244" t="s">
        <v>28</v>
      </c>
      <c r="E244">
        <v>31207.51</v>
      </c>
      <c r="F244">
        <v>3701</v>
      </c>
      <c r="G244">
        <v>4.2999999999999997E-2</v>
      </c>
      <c r="H244">
        <v>11</v>
      </c>
      <c r="I244">
        <v>84.7</v>
      </c>
      <c r="J244">
        <v>0.33</v>
      </c>
      <c r="K244">
        <v>0</v>
      </c>
      <c r="L244">
        <v>4.3</v>
      </c>
      <c r="M244">
        <v>586307.22</v>
      </c>
      <c r="N244">
        <v>73927.850000000006</v>
      </c>
      <c r="O244">
        <f t="shared" si="21"/>
        <v>0.33</v>
      </c>
      <c r="P244">
        <f t="shared" si="22"/>
        <v>4.3</v>
      </c>
      <c r="Q244">
        <f t="shared" si="23"/>
        <v>0</v>
      </c>
      <c r="R244">
        <f t="shared" si="24"/>
        <v>1</v>
      </c>
      <c r="S244">
        <f t="shared" si="25"/>
        <v>0</v>
      </c>
      <c r="T244" s="9">
        <f t="shared" si="26"/>
        <v>558180.28619017079</v>
      </c>
      <c r="U244" s="9">
        <f t="shared" si="27"/>
        <v>28126.933809829177</v>
      </c>
    </row>
    <row r="245" spans="1:21">
      <c r="A245" t="s">
        <v>64</v>
      </c>
      <c r="B245" s="2">
        <v>45717</v>
      </c>
      <c r="C245" t="s">
        <v>15</v>
      </c>
      <c r="D245" t="s">
        <v>16</v>
      </c>
      <c r="E245">
        <v>50825.08</v>
      </c>
      <c r="F245">
        <v>8949</v>
      </c>
      <c r="G245">
        <v>0.157</v>
      </c>
      <c r="H245">
        <v>21</v>
      </c>
      <c r="I245">
        <v>84.7</v>
      </c>
      <c r="J245">
        <v>7.73</v>
      </c>
      <c r="K245">
        <v>0</v>
      </c>
      <c r="L245">
        <v>4.9000000000000004</v>
      </c>
      <c r="M245">
        <v>769702.76</v>
      </c>
      <c r="N245">
        <v>158697</v>
      </c>
      <c r="O245">
        <f t="shared" si="21"/>
        <v>7.73</v>
      </c>
      <c r="P245">
        <f t="shared" si="22"/>
        <v>4.9000000000000004</v>
      </c>
      <c r="Q245">
        <f t="shared" si="23"/>
        <v>0</v>
      </c>
      <c r="R245">
        <f t="shared" si="24"/>
        <v>0</v>
      </c>
      <c r="S245">
        <f t="shared" si="25"/>
        <v>0</v>
      </c>
      <c r="T245" s="9">
        <f t="shared" si="26"/>
        <v>741176.22541987686</v>
      </c>
      <c r="U245" s="9">
        <f t="shared" si="27"/>
        <v>28526.534580123145</v>
      </c>
    </row>
    <row r="246" spans="1:21">
      <c r="A246" t="s">
        <v>46</v>
      </c>
      <c r="B246" s="2">
        <v>45748</v>
      </c>
      <c r="C246" t="s">
        <v>27</v>
      </c>
      <c r="D246" t="s">
        <v>28</v>
      </c>
      <c r="E246">
        <v>55101.1</v>
      </c>
      <c r="F246">
        <v>5281</v>
      </c>
      <c r="G246">
        <v>0.189</v>
      </c>
      <c r="H246">
        <v>11</v>
      </c>
      <c r="I246">
        <v>91</v>
      </c>
      <c r="J246">
        <v>2.7</v>
      </c>
      <c r="K246">
        <v>0</v>
      </c>
      <c r="L246">
        <v>4.4000000000000004</v>
      </c>
      <c r="M246">
        <v>675177.68</v>
      </c>
      <c r="N246">
        <v>105628.68</v>
      </c>
      <c r="O246">
        <f t="shared" si="21"/>
        <v>2.7</v>
      </c>
      <c r="P246">
        <f t="shared" si="22"/>
        <v>4.4000000000000004</v>
      </c>
      <c r="Q246">
        <f t="shared" si="23"/>
        <v>0</v>
      </c>
      <c r="R246">
        <f t="shared" si="24"/>
        <v>0</v>
      </c>
      <c r="S246">
        <f t="shared" si="25"/>
        <v>1</v>
      </c>
      <c r="T246" s="9">
        <f t="shared" si="26"/>
        <v>646645.89245516469</v>
      </c>
      <c r="U246" s="9">
        <f t="shared" si="27"/>
        <v>28531.787544835359</v>
      </c>
    </row>
    <row r="247" spans="1:21">
      <c r="A247" t="s">
        <v>75</v>
      </c>
      <c r="B247" s="2">
        <v>45689</v>
      </c>
      <c r="C247" t="s">
        <v>27</v>
      </c>
      <c r="D247" t="s">
        <v>16</v>
      </c>
      <c r="E247">
        <v>41819.449999999997</v>
      </c>
      <c r="F247">
        <v>9412</v>
      </c>
      <c r="G247">
        <v>0.15</v>
      </c>
      <c r="H247">
        <v>22</v>
      </c>
      <c r="I247">
        <v>91</v>
      </c>
      <c r="J247">
        <v>3.67</v>
      </c>
      <c r="K247">
        <v>0</v>
      </c>
      <c r="L247">
        <v>4.2</v>
      </c>
      <c r="M247">
        <v>804975.5</v>
      </c>
      <c r="N247">
        <v>140054.5</v>
      </c>
      <c r="O247">
        <f t="shared" si="21"/>
        <v>3.67</v>
      </c>
      <c r="P247">
        <f t="shared" si="22"/>
        <v>4.2</v>
      </c>
      <c r="Q247">
        <f t="shared" si="23"/>
        <v>0</v>
      </c>
      <c r="R247">
        <f t="shared" si="24"/>
        <v>0</v>
      </c>
      <c r="S247">
        <f t="shared" si="25"/>
        <v>1</v>
      </c>
      <c r="T247" s="9">
        <f t="shared" si="26"/>
        <v>776241.81965028774</v>
      </c>
      <c r="U247" s="9">
        <f t="shared" si="27"/>
        <v>28733.68034971226</v>
      </c>
    </row>
    <row r="248" spans="1:21">
      <c r="A248" t="s">
        <v>49</v>
      </c>
      <c r="B248" s="2">
        <v>45658</v>
      </c>
      <c r="C248" t="s">
        <v>15</v>
      </c>
      <c r="D248" t="s">
        <v>28</v>
      </c>
      <c r="E248">
        <v>75265.02</v>
      </c>
      <c r="F248">
        <v>6975</v>
      </c>
      <c r="G248">
        <v>0.157</v>
      </c>
      <c r="H248">
        <v>20</v>
      </c>
      <c r="I248">
        <v>73.8</v>
      </c>
      <c r="J248">
        <v>6.35</v>
      </c>
      <c r="K248">
        <v>1</v>
      </c>
      <c r="L248">
        <v>3.8</v>
      </c>
      <c r="M248">
        <v>709478.39</v>
      </c>
      <c r="N248">
        <v>71294.27</v>
      </c>
      <c r="O248">
        <f t="shared" si="21"/>
        <v>6.35</v>
      </c>
      <c r="P248">
        <f t="shared" si="22"/>
        <v>3.8</v>
      </c>
      <c r="Q248">
        <f t="shared" si="23"/>
        <v>0</v>
      </c>
      <c r="R248">
        <f t="shared" si="24"/>
        <v>0</v>
      </c>
      <c r="S248">
        <f t="shared" si="25"/>
        <v>0</v>
      </c>
      <c r="T248" s="9">
        <f t="shared" si="26"/>
        <v>680128.47210810171</v>
      </c>
      <c r="U248" s="9">
        <f t="shared" si="27"/>
        <v>29349.917891898309</v>
      </c>
    </row>
    <row r="249" spans="1:21">
      <c r="A249" t="s">
        <v>39</v>
      </c>
      <c r="B249" s="2">
        <v>45717</v>
      </c>
      <c r="C249" t="s">
        <v>15</v>
      </c>
      <c r="D249" t="s">
        <v>18</v>
      </c>
      <c r="E249">
        <v>60571.82</v>
      </c>
      <c r="F249">
        <v>3193</v>
      </c>
      <c r="G249">
        <v>0.19700000000000001</v>
      </c>
      <c r="H249">
        <v>7</v>
      </c>
      <c r="I249">
        <v>99</v>
      </c>
      <c r="J249">
        <v>1.43</v>
      </c>
      <c r="K249">
        <v>0</v>
      </c>
      <c r="L249">
        <v>3.2</v>
      </c>
      <c r="M249">
        <v>605023.87</v>
      </c>
      <c r="N249">
        <v>98545.81</v>
      </c>
      <c r="O249">
        <f t="shared" si="21"/>
        <v>1.43</v>
      </c>
      <c r="P249">
        <f t="shared" si="22"/>
        <v>3.2</v>
      </c>
      <c r="Q249">
        <f t="shared" si="23"/>
        <v>0</v>
      </c>
      <c r="R249">
        <f t="shared" si="24"/>
        <v>0</v>
      </c>
      <c r="S249">
        <f t="shared" si="25"/>
        <v>0</v>
      </c>
      <c r="T249" s="9">
        <f t="shared" si="26"/>
        <v>575170.21289404645</v>
      </c>
      <c r="U249" s="9">
        <f t="shared" si="27"/>
        <v>29853.657105953549</v>
      </c>
    </row>
    <row r="250" spans="1:21">
      <c r="A250" t="s">
        <v>78</v>
      </c>
      <c r="B250" s="2">
        <v>45658</v>
      </c>
      <c r="C250" t="s">
        <v>15</v>
      </c>
      <c r="D250" t="s">
        <v>28</v>
      </c>
      <c r="E250">
        <v>68212.289999999994</v>
      </c>
      <c r="F250">
        <v>4713</v>
      </c>
      <c r="G250">
        <v>0.19800000000000001</v>
      </c>
      <c r="H250">
        <v>15</v>
      </c>
      <c r="I250">
        <v>82.6</v>
      </c>
      <c r="J250">
        <v>4.07</v>
      </c>
      <c r="K250">
        <v>1</v>
      </c>
      <c r="L250">
        <v>3</v>
      </c>
      <c r="M250">
        <v>641564.6</v>
      </c>
      <c r="N250">
        <v>90468.96</v>
      </c>
      <c r="O250">
        <f t="shared" si="21"/>
        <v>4.07</v>
      </c>
      <c r="P250">
        <f t="shared" si="22"/>
        <v>3</v>
      </c>
      <c r="Q250">
        <f t="shared" si="23"/>
        <v>0</v>
      </c>
      <c r="R250">
        <f t="shared" si="24"/>
        <v>0</v>
      </c>
      <c r="S250">
        <f t="shared" si="25"/>
        <v>0</v>
      </c>
      <c r="T250" s="9">
        <f t="shared" si="26"/>
        <v>611215.69689991185</v>
      </c>
      <c r="U250" s="9">
        <f t="shared" si="27"/>
        <v>30348.903100088122</v>
      </c>
    </row>
    <row r="251" spans="1:21">
      <c r="A251" t="s">
        <v>90</v>
      </c>
      <c r="B251" s="2">
        <v>45689</v>
      </c>
      <c r="C251" t="s">
        <v>27</v>
      </c>
      <c r="D251" t="s">
        <v>18</v>
      </c>
      <c r="E251">
        <v>17562.57</v>
      </c>
      <c r="F251">
        <v>3326</v>
      </c>
      <c r="G251">
        <v>0.153</v>
      </c>
      <c r="H251">
        <v>14</v>
      </c>
      <c r="I251">
        <v>88.1</v>
      </c>
      <c r="J251">
        <v>1.04</v>
      </c>
      <c r="K251">
        <v>0</v>
      </c>
      <c r="L251">
        <v>3.1</v>
      </c>
      <c r="M251">
        <v>561597.32999999996</v>
      </c>
      <c r="N251">
        <v>75072.75</v>
      </c>
      <c r="O251">
        <f t="shared" si="21"/>
        <v>1.04</v>
      </c>
      <c r="P251">
        <f t="shared" si="22"/>
        <v>3.1</v>
      </c>
      <c r="Q251">
        <f t="shared" si="23"/>
        <v>0</v>
      </c>
      <c r="R251">
        <f t="shared" si="24"/>
        <v>0</v>
      </c>
      <c r="S251">
        <f t="shared" si="25"/>
        <v>1</v>
      </c>
      <c r="T251" s="9">
        <f t="shared" si="26"/>
        <v>531201.54793963605</v>
      </c>
      <c r="U251" s="9">
        <f t="shared" si="27"/>
        <v>30395.782060363912</v>
      </c>
    </row>
    <row r="252" spans="1:21">
      <c r="A252" t="s">
        <v>53</v>
      </c>
      <c r="B252" s="2">
        <v>45717</v>
      </c>
      <c r="C252" t="s">
        <v>24</v>
      </c>
      <c r="D252" t="s">
        <v>18</v>
      </c>
      <c r="E252">
        <v>56517.9</v>
      </c>
      <c r="F252">
        <v>9574</v>
      </c>
      <c r="G252">
        <v>0.20399999999999999</v>
      </c>
      <c r="H252">
        <v>20</v>
      </c>
      <c r="I252">
        <v>88.2</v>
      </c>
      <c r="J252">
        <v>5.37</v>
      </c>
      <c r="K252">
        <v>1</v>
      </c>
      <c r="L252">
        <v>4.9000000000000004</v>
      </c>
      <c r="M252">
        <v>842157.92</v>
      </c>
      <c r="N252">
        <v>107348.22</v>
      </c>
      <c r="O252">
        <f t="shared" si="21"/>
        <v>5.37</v>
      </c>
      <c r="P252">
        <f t="shared" si="22"/>
        <v>4.9000000000000004</v>
      </c>
      <c r="Q252">
        <f t="shared" si="23"/>
        <v>0</v>
      </c>
      <c r="R252">
        <f t="shared" si="24"/>
        <v>1</v>
      </c>
      <c r="S252">
        <f t="shared" si="25"/>
        <v>0</v>
      </c>
      <c r="T252" s="9">
        <f t="shared" si="26"/>
        <v>810369.62998806941</v>
      </c>
      <c r="U252" s="9">
        <f t="shared" si="27"/>
        <v>31788.290011930629</v>
      </c>
    </row>
    <row r="253" spans="1:21">
      <c r="A253" t="s">
        <v>83</v>
      </c>
      <c r="B253" s="2">
        <v>45658</v>
      </c>
      <c r="C253" t="s">
        <v>15</v>
      </c>
      <c r="D253" t="s">
        <v>18</v>
      </c>
      <c r="E253">
        <v>76942.2</v>
      </c>
      <c r="F253">
        <v>8934</v>
      </c>
      <c r="G253">
        <v>8.4000000000000005E-2</v>
      </c>
      <c r="H253">
        <v>20</v>
      </c>
      <c r="I253">
        <v>91</v>
      </c>
      <c r="J253">
        <v>0.95</v>
      </c>
      <c r="K253">
        <v>0</v>
      </c>
      <c r="L253">
        <v>3.2</v>
      </c>
      <c r="M253">
        <v>802001.68</v>
      </c>
      <c r="N253">
        <v>159715.82</v>
      </c>
      <c r="O253">
        <f t="shared" si="21"/>
        <v>0.95</v>
      </c>
      <c r="P253">
        <f t="shared" si="22"/>
        <v>3.2</v>
      </c>
      <c r="Q253">
        <f t="shared" si="23"/>
        <v>0</v>
      </c>
      <c r="R253">
        <f t="shared" si="24"/>
        <v>0</v>
      </c>
      <c r="S253">
        <f t="shared" si="25"/>
        <v>0</v>
      </c>
      <c r="T253" s="9">
        <f t="shared" si="26"/>
        <v>770200.55234300916</v>
      </c>
      <c r="U253" s="9">
        <f t="shared" si="27"/>
        <v>31801.127656990895</v>
      </c>
    </row>
    <row r="254" spans="1:21">
      <c r="A254" t="s">
        <v>48</v>
      </c>
      <c r="B254" s="2">
        <v>45658</v>
      </c>
      <c r="C254" t="s">
        <v>27</v>
      </c>
      <c r="D254" t="s">
        <v>18</v>
      </c>
      <c r="E254">
        <v>57919.07</v>
      </c>
      <c r="F254">
        <v>7374</v>
      </c>
      <c r="G254">
        <v>0.10299999999999999</v>
      </c>
      <c r="H254">
        <v>21</v>
      </c>
      <c r="I254">
        <v>82.3</v>
      </c>
      <c r="J254">
        <v>2.87</v>
      </c>
      <c r="K254">
        <v>0</v>
      </c>
      <c r="L254">
        <v>2.9</v>
      </c>
      <c r="M254">
        <v>727227.2</v>
      </c>
      <c r="N254">
        <v>121292.01</v>
      </c>
      <c r="O254">
        <f t="shared" si="21"/>
        <v>2.87</v>
      </c>
      <c r="P254">
        <f t="shared" si="22"/>
        <v>2.9</v>
      </c>
      <c r="Q254">
        <f t="shared" si="23"/>
        <v>0</v>
      </c>
      <c r="R254">
        <f t="shared" si="24"/>
        <v>0</v>
      </c>
      <c r="S254">
        <f t="shared" si="25"/>
        <v>1</v>
      </c>
      <c r="T254" s="9">
        <f t="shared" si="26"/>
        <v>694928.65431380505</v>
      </c>
      <c r="U254" s="9">
        <f t="shared" si="27"/>
        <v>32298.545686194906</v>
      </c>
    </row>
    <row r="255" spans="1:21">
      <c r="A255" t="s">
        <v>80</v>
      </c>
      <c r="B255" s="2">
        <v>45658</v>
      </c>
      <c r="C255" t="s">
        <v>27</v>
      </c>
      <c r="D255" t="s">
        <v>16</v>
      </c>
      <c r="E255">
        <v>47241.919999999998</v>
      </c>
      <c r="F255">
        <v>4264</v>
      </c>
      <c r="G255">
        <v>6.9000000000000006E-2</v>
      </c>
      <c r="H255">
        <v>13</v>
      </c>
      <c r="I255">
        <v>95.3</v>
      </c>
      <c r="J255">
        <v>0.85</v>
      </c>
      <c r="K255">
        <v>0</v>
      </c>
      <c r="L255">
        <v>4.3</v>
      </c>
      <c r="M255">
        <v>658072.14</v>
      </c>
      <c r="N255">
        <v>110595.89</v>
      </c>
      <c r="O255">
        <f t="shared" si="21"/>
        <v>0.85</v>
      </c>
      <c r="P255">
        <f t="shared" si="22"/>
        <v>4.3</v>
      </c>
      <c r="Q255">
        <f t="shared" si="23"/>
        <v>0</v>
      </c>
      <c r="R255">
        <f t="shared" si="24"/>
        <v>0</v>
      </c>
      <c r="S255">
        <f t="shared" si="25"/>
        <v>1</v>
      </c>
      <c r="T255" s="9">
        <f t="shared" si="26"/>
        <v>624732.12738804519</v>
      </c>
      <c r="U255" s="9">
        <f t="shared" si="27"/>
        <v>33340.012611954822</v>
      </c>
    </row>
    <row r="256" spans="1:21">
      <c r="A256" t="s">
        <v>52</v>
      </c>
      <c r="B256" s="2">
        <v>45689</v>
      </c>
      <c r="C256" t="s">
        <v>20</v>
      </c>
      <c r="D256" t="s">
        <v>18</v>
      </c>
      <c r="E256">
        <v>83044.17</v>
      </c>
      <c r="F256">
        <v>3694</v>
      </c>
      <c r="G256">
        <v>0</v>
      </c>
      <c r="H256">
        <v>14</v>
      </c>
      <c r="I256">
        <v>89.4</v>
      </c>
      <c r="J256">
        <v>2.2000000000000002</v>
      </c>
      <c r="K256">
        <v>0</v>
      </c>
      <c r="L256">
        <v>3.7</v>
      </c>
      <c r="M256">
        <v>654317.09</v>
      </c>
      <c r="N256">
        <v>121446.89</v>
      </c>
      <c r="O256">
        <f t="shared" si="21"/>
        <v>2.2000000000000002</v>
      </c>
      <c r="P256">
        <f t="shared" si="22"/>
        <v>3.7</v>
      </c>
      <c r="Q256">
        <f t="shared" si="23"/>
        <v>1</v>
      </c>
      <c r="R256">
        <f t="shared" si="24"/>
        <v>0</v>
      </c>
      <c r="S256">
        <f t="shared" si="25"/>
        <v>0</v>
      </c>
      <c r="T256" s="9">
        <f t="shared" si="26"/>
        <v>620855.4966322137</v>
      </c>
      <c r="U256" s="9">
        <f t="shared" si="27"/>
        <v>33461.593367786263</v>
      </c>
    </row>
    <row r="257" spans="1:21">
      <c r="A257" t="s">
        <v>57</v>
      </c>
      <c r="B257" s="2">
        <v>45717</v>
      </c>
      <c r="C257" t="s">
        <v>27</v>
      </c>
      <c r="D257" t="s">
        <v>18</v>
      </c>
      <c r="E257">
        <v>44034.6</v>
      </c>
      <c r="F257">
        <v>5645</v>
      </c>
      <c r="G257">
        <v>6.9000000000000006E-2</v>
      </c>
      <c r="H257">
        <v>18</v>
      </c>
      <c r="I257">
        <v>88.5</v>
      </c>
      <c r="J257">
        <v>3.07</v>
      </c>
      <c r="K257">
        <v>0</v>
      </c>
      <c r="L257">
        <v>3.8</v>
      </c>
      <c r="M257">
        <v>682639.28</v>
      </c>
      <c r="N257">
        <v>77557.53</v>
      </c>
      <c r="O257">
        <f t="shared" si="21"/>
        <v>3.07</v>
      </c>
      <c r="P257">
        <f t="shared" si="22"/>
        <v>3.8</v>
      </c>
      <c r="Q257">
        <f t="shared" si="23"/>
        <v>0</v>
      </c>
      <c r="R257">
        <f t="shared" si="24"/>
        <v>0</v>
      </c>
      <c r="S257">
        <f t="shared" si="25"/>
        <v>1</v>
      </c>
      <c r="T257" s="9">
        <f t="shared" si="26"/>
        <v>648397.02594117564</v>
      </c>
      <c r="U257" s="9">
        <f t="shared" si="27"/>
        <v>34242.254058824386</v>
      </c>
    </row>
    <row r="258" spans="1:21">
      <c r="A258" t="s">
        <v>63</v>
      </c>
      <c r="B258" s="2">
        <v>45658</v>
      </c>
      <c r="C258" t="s">
        <v>20</v>
      </c>
      <c r="D258" t="s">
        <v>28</v>
      </c>
      <c r="E258">
        <v>72150.53</v>
      </c>
      <c r="F258">
        <v>9323</v>
      </c>
      <c r="G258">
        <v>0.157</v>
      </c>
      <c r="H258">
        <v>22</v>
      </c>
      <c r="I258">
        <v>82.9</v>
      </c>
      <c r="J258">
        <v>11.37</v>
      </c>
      <c r="K258">
        <v>1</v>
      </c>
      <c r="L258">
        <v>4.3</v>
      </c>
      <c r="M258">
        <v>825797.91</v>
      </c>
      <c r="N258">
        <v>130945.24</v>
      </c>
      <c r="O258">
        <f t="shared" ref="O258:O321" si="28">IF(ISBLANK(J258),$AA$1,J258)</f>
        <v>11.37</v>
      </c>
      <c r="P258">
        <f t="shared" ref="P258:P321" si="29">IF(ISBLANK(L258),$AB$1,L258)</f>
        <v>4.3</v>
      </c>
      <c r="Q258">
        <f t="shared" ref="Q258:Q321" si="30">IF(TRIM($C258)="North",1,0)</f>
        <v>1</v>
      </c>
      <c r="R258">
        <f t="shared" ref="R258:R321" si="31">IF(TRIM($C258)="South",1,0)</f>
        <v>0</v>
      </c>
      <c r="S258">
        <f t="shared" ref="S258:S321" si="32">IF(TRIM($C258)="West",1,0)</f>
        <v>0</v>
      </c>
      <c r="T258" s="9">
        <f t="shared" ref="T258:T321" si="33">67872.24452+(1.191785586*E258)+(28.84384382*F258)+(2946.815912*I258)+(2577.105881*H258)+(10386.38644*P258)+(12885.25058*K258)+(9508.793539*Q258)+(23759.38097*R258)+(18572.09895*S258)</f>
        <v>790814.23642792064</v>
      </c>
      <c r="U258" s="9">
        <f t="shared" ref="U258:U321" si="34">M258-T258</f>
        <v>34983.673572079395</v>
      </c>
    </row>
    <row r="259" spans="1:21">
      <c r="A259" t="s">
        <v>47</v>
      </c>
      <c r="B259" s="2">
        <v>45717</v>
      </c>
      <c r="C259" t="s">
        <v>15</v>
      </c>
      <c r="D259" t="s">
        <v>28</v>
      </c>
      <c r="E259">
        <v>90084.4</v>
      </c>
      <c r="F259">
        <v>6832</v>
      </c>
      <c r="G259">
        <v>0.185</v>
      </c>
      <c r="H259">
        <v>14</v>
      </c>
      <c r="I259">
        <v>80.5</v>
      </c>
      <c r="J259">
        <v>0.77</v>
      </c>
      <c r="K259">
        <v>1</v>
      </c>
      <c r="L259">
        <v>4.4000000000000004</v>
      </c>
      <c r="M259">
        <v>740102.64</v>
      </c>
      <c r="N259">
        <v>114299.07</v>
      </c>
      <c r="O259">
        <f t="shared" si="28"/>
        <v>0.77</v>
      </c>
      <c r="P259">
        <f t="shared" si="29"/>
        <v>4.4000000000000004</v>
      </c>
      <c r="Q259">
        <f t="shared" si="30"/>
        <v>0</v>
      </c>
      <c r="R259">
        <f t="shared" si="31"/>
        <v>0</v>
      </c>
      <c r="S259">
        <f t="shared" si="32"/>
        <v>0</v>
      </c>
      <c r="T259" s="9">
        <f t="shared" si="33"/>
        <v>704178.18910769827</v>
      </c>
      <c r="U259" s="9">
        <f t="shared" si="34"/>
        <v>35924.450892301742</v>
      </c>
    </row>
    <row r="260" spans="1:21">
      <c r="A260" t="s">
        <v>56</v>
      </c>
      <c r="B260" s="2">
        <v>45717</v>
      </c>
      <c r="C260" t="s">
        <v>24</v>
      </c>
      <c r="D260" t="s">
        <v>16</v>
      </c>
      <c r="E260">
        <v>69779</v>
      </c>
      <c r="F260">
        <v>6544</v>
      </c>
      <c r="G260">
        <v>0.152</v>
      </c>
      <c r="H260">
        <v>18</v>
      </c>
      <c r="I260">
        <v>90.2</v>
      </c>
      <c r="J260">
        <v>0.85</v>
      </c>
      <c r="K260">
        <v>1</v>
      </c>
      <c r="L260">
        <v>3.3</v>
      </c>
      <c r="M260">
        <v>758827.64</v>
      </c>
      <c r="N260">
        <v>161439.48000000001</v>
      </c>
      <c r="O260">
        <f t="shared" si="28"/>
        <v>0.85</v>
      </c>
      <c r="P260">
        <f t="shared" si="29"/>
        <v>3.3</v>
      </c>
      <c r="Q260">
        <f t="shared" si="30"/>
        <v>0</v>
      </c>
      <c r="R260">
        <f t="shared" si="31"/>
        <v>1</v>
      </c>
      <c r="S260">
        <f t="shared" si="32"/>
        <v>0</v>
      </c>
      <c r="T260" s="9">
        <f t="shared" si="33"/>
        <v>722898.37280597398</v>
      </c>
      <c r="U260" s="9">
        <f t="shared" si="34"/>
        <v>35929.267194026033</v>
      </c>
    </row>
    <row r="261" spans="1:21">
      <c r="A261" t="s">
        <v>82</v>
      </c>
      <c r="B261" s="2">
        <v>45689</v>
      </c>
      <c r="C261" t="s">
        <v>24</v>
      </c>
      <c r="D261" t="s">
        <v>21</v>
      </c>
      <c r="E261">
        <v>51781.599999999999</v>
      </c>
      <c r="F261">
        <v>5648</v>
      </c>
      <c r="G261">
        <v>5.8999999999999997E-2</v>
      </c>
      <c r="H261">
        <v>13</v>
      </c>
      <c r="I261">
        <v>85.5</v>
      </c>
      <c r="J261">
        <v>4.04</v>
      </c>
      <c r="K261">
        <v>0</v>
      </c>
      <c r="L261">
        <v>3.7</v>
      </c>
      <c r="M261">
        <v>676337.41</v>
      </c>
      <c r="N261">
        <v>104355.77</v>
      </c>
      <c r="O261">
        <f t="shared" si="28"/>
        <v>4.04</v>
      </c>
      <c r="P261">
        <f t="shared" si="29"/>
        <v>3.7</v>
      </c>
      <c r="Q261">
        <f t="shared" si="30"/>
        <v>0</v>
      </c>
      <c r="R261">
        <f t="shared" si="31"/>
        <v>1</v>
      </c>
      <c r="S261">
        <f t="shared" si="32"/>
        <v>0</v>
      </c>
      <c r="T261" s="9">
        <f t="shared" si="33"/>
        <v>640138.98664237768</v>
      </c>
      <c r="U261" s="9">
        <f t="shared" si="34"/>
        <v>36198.423357622349</v>
      </c>
    </row>
    <row r="262" spans="1:21">
      <c r="A262" t="s">
        <v>88</v>
      </c>
      <c r="B262" s="2">
        <v>45689</v>
      </c>
      <c r="C262" t="s">
        <v>15</v>
      </c>
      <c r="D262" t="s">
        <v>18</v>
      </c>
      <c r="E262">
        <v>73454.539999999994</v>
      </c>
      <c r="F262">
        <v>8129</v>
      </c>
      <c r="G262">
        <v>0.21099999999999999</v>
      </c>
      <c r="H262">
        <v>20</v>
      </c>
      <c r="I262">
        <v>85.2</v>
      </c>
      <c r="J262">
        <v>0.88</v>
      </c>
      <c r="K262">
        <v>0</v>
      </c>
      <c r="L262">
        <v>3.7</v>
      </c>
      <c r="M262">
        <v>767792.94</v>
      </c>
      <c r="N262">
        <v>96235.77</v>
      </c>
      <c r="O262">
        <f t="shared" si="28"/>
        <v>0.88</v>
      </c>
      <c r="P262">
        <f t="shared" si="29"/>
        <v>3.7</v>
      </c>
      <c r="Q262">
        <f t="shared" si="30"/>
        <v>0</v>
      </c>
      <c r="R262">
        <f t="shared" si="31"/>
        <v>0</v>
      </c>
      <c r="S262">
        <f t="shared" si="32"/>
        <v>0</v>
      </c>
      <c r="T262" s="9">
        <f t="shared" si="33"/>
        <v>730926.37608144048</v>
      </c>
      <c r="U262" s="9">
        <f t="shared" si="34"/>
        <v>36866.563918559463</v>
      </c>
    </row>
    <row r="263" spans="1:21">
      <c r="A263" t="s">
        <v>34</v>
      </c>
      <c r="B263" s="2">
        <v>45748</v>
      </c>
      <c r="C263" t="s">
        <v>20</v>
      </c>
      <c r="D263" t="s">
        <v>28</v>
      </c>
      <c r="E263">
        <v>65312.49</v>
      </c>
      <c r="F263">
        <v>7189</v>
      </c>
      <c r="G263">
        <v>0.05</v>
      </c>
      <c r="H263">
        <v>19</v>
      </c>
      <c r="I263">
        <v>93.7</v>
      </c>
      <c r="J263">
        <v>7.16</v>
      </c>
      <c r="K263">
        <v>0</v>
      </c>
      <c r="L263">
        <v>4.5999999999999996</v>
      </c>
      <c r="M263">
        <v>773815.14</v>
      </c>
      <c r="N263">
        <v>133948.39000000001</v>
      </c>
      <c r="O263">
        <f t="shared" si="28"/>
        <v>7.16</v>
      </c>
      <c r="P263">
        <f t="shared" si="29"/>
        <v>4.5999999999999996</v>
      </c>
      <c r="Q263">
        <f t="shared" si="30"/>
        <v>1</v>
      </c>
      <c r="R263">
        <f t="shared" si="31"/>
        <v>0</v>
      </c>
      <c r="S263">
        <f t="shared" si="32"/>
        <v>0</v>
      </c>
      <c r="T263" s="9">
        <f t="shared" si="33"/>
        <v>735436.9557661491</v>
      </c>
      <c r="U263" s="9">
        <f t="shared" si="34"/>
        <v>38378.184233850916</v>
      </c>
    </row>
    <row r="264" spans="1:21">
      <c r="A264" t="s">
        <v>35</v>
      </c>
      <c r="B264" s="2">
        <v>45717</v>
      </c>
      <c r="C264" t="s">
        <v>27</v>
      </c>
      <c r="D264" t="s">
        <v>18</v>
      </c>
      <c r="E264">
        <v>81195.5</v>
      </c>
      <c r="F264">
        <v>5516</v>
      </c>
      <c r="G264">
        <v>0.106</v>
      </c>
      <c r="H264">
        <v>14</v>
      </c>
      <c r="I264">
        <v>88</v>
      </c>
      <c r="J264">
        <v>1.76</v>
      </c>
      <c r="K264">
        <v>0</v>
      </c>
      <c r="L264">
        <v>4.3</v>
      </c>
      <c r="M264">
        <v>720852.5</v>
      </c>
      <c r="N264">
        <v>98565.62</v>
      </c>
      <c r="O264">
        <f t="shared" si="28"/>
        <v>1.76</v>
      </c>
      <c r="P264">
        <f t="shared" si="29"/>
        <v>4.3</v>
      </c>
      <c r="Q264">
        <f t="shared" si="30"/>
        <v>0</v>
      </c>
      <c r="R264">
        <f t="shared" si="31"/>
        <v>0</v>
      </c>
      <c r="S264">
        <f t="shared" si="32"/>
        <v>1</v>
      </c>
      <c r="T264" s="9">
        <f t="shared" si="33"/>
        <v>682375.35681118304</v>
      </c>
      <c r="U264" s="9">
        <f t="shared" si="34"/>
        <v>38477.143188816961</v>
      </c>
    </row>
    <row r="265" spans="1:21">
      <c r="A265" t="s">
        <v>66</v>
      </c>
      <c r="B265" s="2">
        <v>45717</v>
      </c>
      <c r="C265" t="s">
        <v>27</v>
      </c>
      <c r="D265" t="s">
        <v>21</v>
      </c>
      <c r="E265">
        <v>40535.089999999997</v>
      </c>
      <c r="F265">
        <v>8870</v>
      </c>
      <c r="G265">
        <v>4.1000000000000002E-2</v>
      </c>
      <c r="H265">
        <v>21</v>
      </c>
      <c r="I265">
        <v>86.6</v>
      </c>
      <c r="J265">
        <v>0.3</v>
      </c>
      <c r="K265">
        <v>0</v>
      </c>
      <c r="L265">
        <v>4.0999999999999996</v>
      </c>
      <c r="M265">
        <v>781955.52</v>
      </c>
      <c r="N265">
        <v>152578.71</v>
      </c>
      <c r="O265">
        <f t="shared" si="28"/>
        <v>0.3</v>
      </c>
      <c r="P265">
        <f t="shared" si="29"/>
        <v>4.0999999999999996</v>
      </c>
      <c r="Q265">
        <f t="shared" si="30"/>
        <v>0</v>
      </c>
      <c r="R265">
        <f t="shared" si="31"/>
        <v>0</v>
      </c>
      <c r="S265">
        <f t="shared" si="32"/>
        <v>1</v>
      </c>
      <c r="T265" s="9">
        <f t="shared" si="33"/>
        <v>742496.04002681281</v>
      </c>
      <c r="U265" s="9">
        <f t="shared" si="34"/>
        <v>39459.479973187204</v>
      </c>
    </row>
    <row r="266" spans="1:21">
      <c r="A266" t="s">
        <v>37</v>
      </c>
      <c r="B266" s="2">
        <v>45689</v>
      </c>
      <c r="C266" t="s">
        <v>24</v>
      </c>
      <c r="D266" t="s">
        <v>18</v>
      </c>
      <c r="E266">
        <v>37284.660000000003</v>
      </c>
      <c r="F266">
        <v>3928</v>
      </c>
      <c r="G266">
        <v>7.3999999999999996E-2</v>
      </c>
      <c r="H266">
        <v>12</v>
      </c>
      <c r="I266">
        <v>86.5</v>
      </c>
      <c r="J266">
        <v>1.64</v>
      </c>
      <c r="K266">
        <v>0</v>
      </c>
      <c r="L266">
        <v>3.8</v>
      </c>
      <c r="M266">
        <v>615966.48</v>
      </c>
      <c r="N266">
        <v>91509.38</v>
      </c>
      <c r="O266">
        <f t="shared" si="28"/>
        <v>1.64</v>
      </c>
      <c r="P266">
        <f t="shared" si="29"/>
        <v>3.8</v>
      </c>
      <c r="Q266">
        <f t="shared" si="30"/>
        <v>0</v>
      </c>
      <c r="R266">
        <f t="shared" si="31"/>
        <v>1</v>
      </c>
      <c r="S266">
        <f t="shared" si="32"/>
        <v>0</v>
      </c>
      <c r="T266" s="9">
        <f t="shared" si="33"/>
        <v>574658.67981387069</v>
      </c>
      <c r="U266" s="9">
        <f t="shared" si="34"/>
        <v>41307.800186129287</v>
      </c>
    </row>
    <row r="267" spans="1:21">
      <c r="A267" t="s">
        <v>37</v>
      </c>
      <c r="B267" s="2">
        <v>45748</v>
      </c>
      <c r="C267" t="s">
        <v>24</v>
      </c>
      <c r="D267" t="s">
        <v>18</v>
      </c>
      <c r="E267">
        <v>74954.47</v>
      </c>
      <c r="F267">
        <v>6620</v>
      </c>
      <c r="G267">
        <v>5.3999999999999999E-2</v>
      </c>
      <c r="H267">
        <v>17</v>
      </c>
      <c r="I267">
        <v>91.1</v>
      </c>
      <c r="J267">
        <v>1.1100000000000001</v>
      </c>
      <c r="K267">
        <v>0</v>
      </c>
      <c r="L267">
        <v>3.5</v>
      </c>
      <c r="M267">
        <v>761860.19</v>
      </c>
      <c r="N267">
        <v>133279.38</v>
      </c>
      <c r="O267">
        <f t="shared" si="28"/>
        <v>1.1100000000000001</v>
      </c>
      <c r="P267">
        <f t="shared" si="29"/>
        <v>3.5</v>
      </c>
      <c r="Q267">
        <f t="shared" si="30"/>
        <v>0</v>
      </c>
      <c r="R267">
        <f t="shared" si="31"/>
        <v>1</v>
      </c>
      <c r="S267">
        <f t="shared" si="32"/>
        <v>0</v>
      </c>
      <c r="T267" s="9">
        <f t="shared" si="33"/>
        <v>720525.6106308694</v>
      </c>
      <c r="U267" s="9">
        <f t="shared" si="34"/>
        <v>41334.579369130544</v>
      </c>
    </row>
    <row r="268" spans="1:21">
      <c r="A268" t="s">
        <v>57</v>
      </c>
      <c r="B268" s="2">
        <v>45658</v>
      </c>
      <c r="C268" t="s">
        <v>27</v>
      </c>
      <c r="D268" t="s">
        <v>18</v>
      </c>
      <c r="E268">
        <v>51430.31</v>
      </c>
      <c r="F268">
        <v>6427</v>
      </c>
      <c r="G268">
        <v>0.23400000000000001</v>
      </c>
      <c r="H268">
        <v>14</v>
      </c>
      <c r="I268">
        <v>88.8</v>
      </c>
      <c r="J268">
        <v>0.77</v>
      </c>
      <c r="K268">
        <v>0</v>
      </c>
      <c r="L268">
        <v>4.0999999999999996</v>
      </c>
      <c r="M268">
        <v>715890.53</v>
      </c>
      <c r="N268">
        <v>109032.15</v>
      </c>
      <c r="O268">
        <f t="shared" si="28"/>
        <v>0.77</v>
      </c>
      <c r="P268">
        <f t="shared" si="29"/>
        <v>4.0999999999999996</v>
      </c>
      <c r="Q268">
        <f t="shared" si="30"/>
        <v>0</v>
      </c>
      <c r="R268">
        <f t="shared" si="31"/>
        <v>0</v>
      </c>
      <c r="S268">
        <f t="shared" si="32"/>
        <v>1</v>
      </c>
      <c r="T268" s="9">
        <f t="shared" si="33"/>
        <v>673458.54956625169</v>
      </c>
      <c r="U268" s="9">
        <f t="shared" si="34"/>
        <v>42431.980433748337</v>
      </c>
    </row>
    <row r="269" spans="1:21">
      <c r="A269" t="s">
        <v>31</v>
      </c>
      <c r="B269" s="2">
        <v>45658</v>
      </c>
      <c r="C269" t="s">
        <v>20</v>
      </c>
      <c r="D269" t="s">
        <v>28</v>
      </c>
      <c r="E269">
        <v>75269.87</v>
      </c>
      <c r="F269">
        <v>8838</v>
      </c>
      <c r="G269">
        <v>9.1999999999999998E-2</v>
      </c>
      <c r="H269">
        <v>21</v>
      </c>
      <c r="I269">
        <v>83.1</v>
      </c>
      <c r="J269">
        <v>9.56</v>
      </c>
      <c r="K269">
        <v>1</v>
      </c>
      <c r="L269">
        <v>4.2</v>
      </c>
      <c r="M269">
        <v>820593.93</v>
      </c>
      <c r="N269">
        <v>115860.06</v>
      </c>
      <c r="O269">
        <f t="shared" si="28"/>
        <v>9.56</v>
      </c>
      <c r="P269">
        <f t="shared" si="29"/>
        <v>4.2</v>
      </c>
      <c r="Q269">
        <f t="shared" si="30"/>
        <v>1</v>
      </c>
      <c r="R269">
        <f t="shared" si="31"/>
        <v>0</v>
      </c>
      <c r="S269">
        <f t="shared" si="32"/>
        <v>0</v>
      </c>
      <c r="T269" s="9">
        <f t="shared" si="33"/>
        <v>777516.17528245377</v>
      </c>
      <c r="U269" s="9">
        <f t="shared" si="34"/>
        <v>43077.754717546282</v>
      </c>
    </row>
    <row r="270" spans="1:21">
      <c r="A270" t="s">
        <v>79</v>
      </c>
      <c r="B270" s="2">
        <v>45748</v>
      </c>
      <c r="C270" t="s">
        <v>15</v>
      </c>
      <c r="D270" t="s">
        <v>18</v>
      </c>
      <c r="E270">
        <v>25818.080000000002</v>
      </c>
      <c r="F270">
        <v>5457</v>
      </c>
      <c r="G270">
        <v>0</v>
      </c>
      <c r="H270">
        <v>11</v>
      </c>
      <c r="I270">
        <v>95.4</v>
      </c>
      <c r="K270">
        <v>0</v>
      </c>
      <c r="L270">
        <v>3.7</v>
      </c>
      <c r="M270">
        <v>647512.85</v>
      </c>
      <c r="N270">
        <v>153835.57</v>
      </c>
      <c r="O270">
        <f t="shared" si="28"/>
        <v>0</v>
      </c>
      <c r="P270">
        <f t="shared" si="29"/>
        <v>3.7</v>
      </c>
      <c r="Q270">
        <f t="shared" si="30"/>
        <v>0</v>
      </c>
      <c r="R270">
        <f t="shared" si="31"/>
        <v>0</v>
      </c>
      <c r="S270">
        <f t="shared" si="32"/>
        <v>0</v>
      </c>
      <c r="T270" s="9">
        <f t="shared" si="33"/>
        <v>603946.74837173487</v>
      </c>
      <c r="U270" s="9">
        <f t="shared" si="34"/>
        <v>43566.101628265111</v>
      </c>
    </row>
    <row r="271" spans="1:21">
      <c r="A271" t="s">
        <v>45</v>
      </c>
      <c r="B271" s="2">
        <v>45689</v>
      </c>
      <c r="C271" t="s">
        <v>27</v>
      </c>
      <c r="D271" t="s">
        <v>16</v>
      </c>
      <c r="E271">
        <v>67439.3</v>
      </c>
      <c r="F271">
        <v>6477</v>
      </c>
      <c r="G271">
        <v>0</v>
      </c>
      <c r="H271">
        <v>16</v>
      </c>
      <c r="I271">
        <v>90.9</v>
      </c>
      <c r="J271">
        <v>1.64</v>
      </c>
      <c r="K271">
        <v>0</v>
      </c>
      <c r="L271">
        <v>4.5</v>
      </c>
      <c r="M271">
        <v>753473.55</v>
      </c>
      <c r="N271">
        <v>151527.22</v>
      </c>
      <c r="O271">
        <f t="shared" si="28"/>
        <v>1.64</v>
      </c>
      <c r="P271">
        <f t="shared" si="29"/>
        <v>4.5</v>
      </c>
      <c r="Q271">
        <f t="shared" si="30"/>
        <v>0</v>
      </c>
      <c r="R271">
        <f t="shared" si="31"/>
        <v>0</v>
      </c>
      <c r="S271">
        <f t="shared" si="32"/>
        <v>1</v>
      </c>
      <c r="T271" s="9">
        <f t="shared" si="33"/>
        <v>709477.10503886989</v>
      </c>
      <c r="U271" s="9">
        <f t="shared" si="34"/>
        <v>43996.444961130153</v>
      </c>
    </row>
    <row r="272" spans="1:21">
      <c r="A272" t="s">
        <v>85</v>
      </c>
      <c r="B272" s="2">
        <v>45717</v>
      </c>
      <c r="C272" t="s">
        <v>24</v>
      </c>
      <c r="D272" t="s">
        <v>21</v>
      </c>
      <c r="E272">
        <v>75412.740000000005</v>
      </c>
      <c r="F272">
        <v>5641</v>
      </c>
      <c r="G272">
        <v>5.8999999999999997E-2</v>
      </c>
      <c r="H272">
        <v>13</v>
      </c>
      <c r="I272">
        <v>87.9</v>
      </c>
      <c r="J272">
        <v>0.84</v>
      </c>
      <c r="K272">
        <v>0</v>
      </c>
      <c r="L272">
        <v>3.6</v>
      </c>
      <c r="M272">
        <v>720079.54</v>
      </c>
      <c r="N272">
        <v>119499.47</v>
      </c>
      <c r="O272">
        <f t="shared" si="28"/>
        <v>0.84</v>
      </c>
      <c r="P272">
        <f t="shared" si="29"/>
        <v>3.6</v>
      </c>
      <c r="Q272">
        <f t="shared" si="30"/>
        <v>0</v>
      </c>
      <c r="R272">
        <f t="shared" si="31"/>
        <v>1</v>
      </c>
      <c r="S272">
        <f t="shared" si="32"/>
        <v>0</v>
      </c>
      <c r="T272" s="9">
        <f t="shared" si="33"/>
        <v>674134.05131318583</v>
      </c>
      <c r="U272" s="9">
        <f t="shared" si="34"/>
        <v>45945.488686814206</v>
      </c>
    </row>
    <row r="273" spans="1:21">
      <c r="A273" t="s">
        <v>69</v>
      </c>
      <c r="B273" s="2">
        <v>45658</v>
      </c>
      <c r="C273" t="s">
        <v>15</v>
      </c>
      <c r="D273" t="s">
        <v>18</v>
      </c>
      <c r="E273">
        <v>71641.899999999994</v>
      </c>
      <c r="F273">
        <v>3506</v>
      </c>
      <c r="G273">
        <v>0</v>
      </c>
      <c r="H273">
        <v>11</v>
      </c>
      <c r="I273">
        <v>86.4</v>
      </c>
      <c r="J273">
        <v>7.77</v>
      </c>
      <c r="K273">
        <v>0</v>
      </c>
      <c r="L273">
        <v>4.0999999999999996</v>
      </c>
      <c r="M273">
        <v>625993.82999999996</v>
      </c>
      <c r="N273">
        <v>98960.320000000007</v>
      </c>
      <c r="O273">
        <f t="shared" si="28"/>
        <v>7.77</v>
      </c>
      <c r="P273">
        <f t="shared" si="29"/>
        <v>4.0999999999999996</v>
      </c>
      <c r="Q273">
        <f t="shared" si="30"/>
        <v>0</v>
      </c>
      <c r="R273">
        <f t="shared" si="31"/>
        <v>0</v>
      </c>
      <c r="S273">
        <f t="shared" si="32"/>
        <v>0</v>
      </c>
      <c r="T273" s="9">
        <f t="shared" si="33"/>
        <v>579917.78861837345</v>
      </c>
      <c r="U273" s="9">
        <f t="shared" si="34"/>
        <v>46076.041381626506</v>
      </c>
    </row>
    <row r="274" spans="1:21">
      <c r="A274" t="s">
        <v>50</v>
      </c>
      <c r="B274" s="2">
        <v>45658</v>
      </c>
      <c r="C274" t="s">
        <v>27</v>
      </c>
      <c r="D274" t="s">
        <v>28</v>
      </c>
      <c r="E274">
        <v>61426.04</v>
      </c>
      <c r="F274">
        <v>8966</v>
      </c>
      <c r="G274">
        <v>0.17299999999999999</v>
      </c>
      <c r="H274">
        <v>22</v>
      </c>
      <c r="I274">
        <v>76.400000000000006</v>
      </c>
      <c r="J274">
        <v>1.05</v>
      </c>
      <c r="K274">
        <v>0</v>
      </c>
      <c r="L274">
        <v>3.1</v>
      </c>
      <c r="M274">
        <v>778397.97</v>
      </c>
      <c r="N274">
        <v>120044.41</v>
      </c>
      <c r="O274">
        <f t="shared" si="28"/>
        <v>1.05</v>
      </c>
      <c r="P274">
        <f t="shared" si="29"/>
        <v>3.1</v>
      </c>
      <c r="Q274">
        <f t="shared" si="30"/>
        <v>0</v>
      </c>
      <c r="R274">
        <f t="shared" si="31"/>
        <v>0</v>
      </c>
      <c r="S274">
        <f t="shared" si="32"/>
        <v>1</v>
      </c>
      <c r="T274" s="9">
        <f t="shared" si="33"/>
        <v>732295.77925997949</v>
      </c>
      <c r="U274" s="9">
        <f t="shared" si="34"/>
        <v>46102.19074002048</v>
      </c>
    </row>
    <row r="275" spans="1:21">
      <c r="A275" t="s">
        <v>50</v>
      </c>
      <c r="B275" s="2">
        <v>45689</v>
      </c>
      <c r="C275" t="s">
        <v>27</v>
      </c>
      <c r="D275" t="s">
        <v>28</v>
      </c>
      <c r="E275">
        <v>80176.34</v>
      </c>
      <c r="F275">
        <v>9489</v>
      </c>
      <c r="G275">
        <v>0.14199999999999999</v>
      </c>
      <c r="H275">
        <v>22</v>
      </c>
      <c r="I275">
        <v>94.3</v>
      </c>
      <c r="J275">
        <v>2.67</v>
      </c>
      <c r="K275">
        <v>0</v>
      </c>
      <c r="L275">
        <v>3.5</v>
      </c>
      <c r="M275">
        <v>873380.02</v>
      </c>
      <c r="N275">
        <v>149734.76</v>
      </c>
      <c r="O275">
        <f t="shared" si="28"/>
        <v>2.67</v>
      </c>
      <c r="P275">
        <f t="shared" si="29"/>
        <v>3.5</v>
      </c>
      <c r="Q275">
        <f t="shared" si="30"/>
        <v>0</v>
      </c>
      <c r="R275">
        <f t="shared" si="31"/>
        <v>0</v>
      </c>
      <c r="S275">
        <f t="shared" si="32"/>
        <v>1</v>
      </c>
      <c r="T275" s="9">
        <f t="shared" si="33"/>
        <v>826630.00625181512</v>
      </c>
      <c r="U275" s="9">
        <f t="shared" si="34"/>
        <v>46750.013748184894</v>
      </c>
    </row>
    <row r="276" spans="1:21">
      <c r="A276" t="s">
        <v>99</v>
      </c>
      <c r="B276" s="2">
        <v>45748</v>
      </c>
      <c r="C276" t="s">
        <v>24</v>
      </c>
      <c r="D276" t="s">
        <v>18</v>
      </c>
      <c r="E276">
        <v>86026.58</v>
      </c>
      <c r="F276">
        <v>7479</v>
      </c>
      <c r="G276">
        <v>0.14199999999999999</v>
      </c>
      <c r="H276">
        <v>20</v>
      </c>
      <c r="I276">
        <v>89</v>
      </c>
      <c r="J276">
        <v>0.9</v>
      </c>
      <c r="K276">
        <v>0</v>
      </c>
      <c r="M276">
        <v>771129.07</v>
      </c>
      <c r="N276">
        <v>116851.13</v>
      </c>
      <c r="O276">
        <f t="shared" si="28"/>
        <v>0.9</v>
      </c>
      <c r="P276">
        <f t="shared" si="29"/>
        <v>0</v>
      </c>
      <c r="Q276">
        <f t="shared" si="30"/>
        <v>0</v>
      </c>
      <c r="R276">
        <f t="shared" si="31"/>
        <v>1</v>
      </c>
      <c r="S276">
        <f t="shared" si="32"/>
        <v>0</v>
      </c>
      <c r="T276" s="9">
        <f t="shared" si="33"/>
        <v>723688.70526465587</v>
      </c>
      <c r="U276" s="9">
        <f t="shared" si="34"/>
        <v>47440.364735344076</v>
      </c>
    </row>
    <row r="277" spans="1:21">
      <c r="A277" t="s">
        <v>71</v>
      </c>
      <c r="B277" s="2">
        <v>45658</v>
      </c>
      <c r="C277" t="s">
        <v>20</v>
      </c>
      <c r="D277" t="s">
        <v>16</v>
      </c>
      <c r="E277">
        <v>71851.45</v>
      </c>
      <c r="F277">
        <v>4970</v>
      </c>
      <c r="G277">
        <v>9.8000000000000004E-2</v>
      </c>
      <c r="H277">
        <v>11</v>
      </c>
      <c r="I277">
        <v>89.6</v>
      </c>
      <c r="J277">
        <v>0.2</v>
      </c>
      <c r="K277">
        <v>0</v>
      </c>
      <c r="L277">
        <v>4.2</v>
      </c>
      <c r="M277">
        <v>691447.43</v>
      </c>
      <c r="N277">
        <v>114077.69</v>
      </c>
      <c r="O277">
        <f t="shared" si="28"/>
        <v>0.2</v>
      </c>
      <c r="P277">
        <f t="shared" si="29"/>
        <v>4.2</v>
      </c>
      <c r="Q277">
        <f t="shared" si="30"/>
        <v>1</v>
      </c>
      <c r="R277">
        <f t="shared" si="31"/>
        <v>0</v>
      </c>
      <c r="S277">
        <f t="shared" si="32"/>
        <v>0</v>
      </c>
      <c r="T277" s="9">
        <f t="shared" si="33"/>
        <v>642372.15774179972</v>
      </c>
      <c r="U277" s="9">
        <f t="shared" si="34"/>
        <v>49075.272258200333</v>
      </c>
    </row>
    <row r="278" spans="1:21">
      <c r="A278" t="s">
        <v>76</v>
      </c>
      <c r="B278" s="2">
        <v>45658</v>
      </c>
      <c r="C278" t="s">
        <v>20</v>
      </c>
      <c r="D278" t="s">
        <v>21</v>
      </c>
      <c r="E278">
        <v>69180.539999999994</v>
      </c>
      <c r="F278">
        <v>5394</v>
      </c>
      <c r="G278">
        <v>0.126</v>
      </c>
      <c r="H278">
        <v>12</v>
      </c>
      <c r="I278">
        <v>82.9</v>
      </c>
      <c r="J278">
        <v>3.27</v>
      </c>
      <c r="K278">
        <v>0</v>
      </c>
      <c r="L278">
        <v>3.3</v>
      </c>
      <c r="M278">
        <v>674289.1</v>
      </c>
      <c r="N278">
        <v>117773.79</v>
      </c>
      <c r="O278">
        <f t="shared" si="28"/>
        <v>3.27</v>
      </c>
      <c r="P278">
        <f t="shared" si="29"/>
        <v>3.3</v>
      </c>
      <c r="Q278">
        <f t="shared" si="30"/>
        <v>1</v>
      </c>
      <c r="R278">
        <f t="shared" si="31"/>
        <v>0</v>
      </c>
      <c r="S278">
        <f t="shared" si="32"/>
        <v>0</v>
      </c>
      <c r="T278" s="9">
        <f t="shared" si="33"/>
        <v>624904.48695657635</v>
      </c>
      <c r="U278" s="9">
        <f t="shared" si="34"/>
        <v>49384.613043423626</v>
      </c>
    </row>
    <row r="279" spans="1:21">
      <c r="A279" t="s">
        <v>41</v>
      </c>
      <c r="B279" s="2">
        <v>45689</v>
      </c>
      <c r="C279" t="s">
        <v>24</v>
      </c>
      <c r="D279" t="s">
        <v>18</v>
      </c>
      <c r="E279">
        <v>54872.82</v>
      </c>
      <c r="F279">
        <v>5962</v>
      </c>
      <c r="G279">
        <v>6.4000000000000001E-2</v>
      </c>
      <c r="H279">
        <v>12</v>
      </c>
      <c r="I279">
        <v>85.4</v>
      </c>
      <c r="J279">
        <v>2.58</v>
      </c>
      <c r="K279">
        <v>0</v>
      </c>
      <c r="L279">
        <v>2.9</v>
      </c>
      <c r="M279">
        <v>691112.6</v>
      </c>
      <c r="N279">
        <v>109212.83</v>
      </c>
      <c r="O279">
        <f t="shared" si="28"/>
        <v>2.58</v>
      </c>
      <c r="P279">
        <f t="shared" si="29"/>
        <v>2.9</v>
      </c>
      <c r="Q279">
        <f t="shared" si="30"/>
        <v>0</v>
      </c>
      <c r="R279">
        <f t="shared" si="31"/>
        <v>1</v>
      </c>
      <c r="S279">
        <f t="shared" si="32"/>
        <v>0</v>
      </c>
      <c r="T279" s="9">
        <f t="shared" si="33"/>
        <v>641699.12841681251</v>
      </c>
      <c r="U279" s="9">
        <f t="shared" si="34"/>
        <v>49413.471583187464</v>
      </c>
    </row>
    <row r="280" spans="1:21">
      <c r="A280" t="s">
        <v>86</v>
      </c>
      <c r="B280" s="2">
        <v>45748</v>
      </c>
      <c r="C280" t="s">
        <v>24</v>
      </c>
      <c r="D280" t="s">
        <v>28</v>
      </c>
      <c r="E280">
        <v>38397.82</v>
      </c>
      <c r="F280">
        <v>7836</v>
      </c>
      <c r="G280">
        <v>7.0000000000000001E-3</v>
      </c>
      <c r="H280">
        <v>21</v>
      </c>
      <c r="I280">
        <v>92.2</v>
      </c>
      <c r="J280">
        <v>1.82</v>
      </c>
      <c r="K280">
        <v>0</v>
      </c>
      <c r="L280">
        <v>3.6</v>
      </c>
      <c r="M280">
        <v>776110.32</v>
      </c>
      <c r="N280">
        <v>139676.21</v>
      </c>
      <c r="O280">
        <f t="shared" si="28"/>
        <v>1.82</v>
      </c>
      <c r="P280">
        <f t="shared" si="29"/>
        <v>3.6</v>
      </c>
      <c r="Q280">
        <f t="shared" si="30"/>
        <v>0</v>
      </c>
      <c r="R280">
        <f t="shared" si="31"/>
        <v>1</v>
      </c>
      <c r="S280">
        <f t="shared" si="32"/>
        <v>0</v>
      </c>
      <c r="T280" s="9">
        <f t="shared" si="33"/>
        <v>726620.59584474261</v>
      </c>
      <c r="U280" s="9">
        <f t="shared" si="34"/>
        <v>49489.72415525734</v>
      </c>
    </row>
    <row r="281" spans="1:21">
      <c r="A281" t="s">
        <v>79</v>
      </c>
      <c r="B281" s="2">
        <v>45689</v>
      </c>
      <c r="C281" t="s">
        <v>15</v>
      </c>
      <c r="D281" t="s">
        <v>18</v>
      </c>
      <c r="E281">
        <v>113736</v>
      </c>
      <c r="F281">
        <v>8961</v>
      </c>
      <c r="G281">
        <v>0.20200000000000001</v>
      </c>
      <c r="H281">
        <v>24</v>
      </c>
      <c r="I281">
        <v>86.2</v>
      </c>
      <c r="J281">
        <v>21.63</v>
      </c>
      <c r="K281">
        <v>0</v>
      </c>
      <c r="L281">
        <v>4</v>
      </c>
      <c r="M281">
        <v>870937.4</v>
      </c>
      <c r="N281">
        <v>175282.74</v>
      </c>
      <c r="O281">
        <f t="shared" si="28"/>
        <v>21.63</v>
      </c>
      <c r="P281">
        <f t="shared" si="29"/>
        <v>4</v>
      </c>
      <c r="Q281">
        <f t="shared" si="30"/>
        <v>0</v>
      </c>
      <c r="R281">
        <f t="shared" si="31"/>
        <v>0</v>
      </c>
      <c r="S281">
        <f t="shared" si="32"/>
        <v>0</v>
      </c>
      <c r="T281" s="9">
        <f t="shared" si="33"/>
        <v>819302.47291871603</v>
      </c>
      <c r="U281" s="9">
        <f t="shared" si="34"/>
        <v>51634.927081283997</v>
      </c>
    </row>
    <row r="282" spans="1:21">
      <c r="A282" t="s">
        <v>41</v>
      </c>
      <c r="B282" s="2">
        <v>45717</v>
      </c>
      <c r="C282" t="s">
        <v>24</v>
      </c>
      <c r="D282" t="s">
        <v>18</v>
      </c>
      <c r="E282">
        <v>80562.81</v>
      </c>
      <c r="F282">
        <v>7470</v>
      </c>
      <c r="G282">
        <v>0.17199999999999999</v>
      </c>
      <c r="H282">
        <v>16</v>
      </c>
      <c r="I282">
        <v>83.5</v>
      </c>
      <c r="J282">
        <v>2.29</v>
      </c>
      <c r="K282">
        <v>0</v>
      </c>
      <c r="L282">
        <v>3.3</v>
      </c>
      <c r="M282">
        <v>776922.17</v>
      </c>
      <c r="N282">
        <v>150701.93</v>
      </c>
      <c r="O282">
        <f t="shared" si="28"/>
        <v>2.29</v>
      </c>
      <c r="P282">
        <f t="shared" si="29"/>
        <v>3.3</v>
      </c>
      <c r="Q282">
        <f t="shared" si="30"/>
        <v>0</v>
      </c>
      <c r="R282">
        <f t="shared" si="31"/>
        <v>1</v>
      </c>
      <c r="S282">
        <f t="shared" si="32"/>
        <v>0</v>
      </c>
      <c r="T282" s="9">
        <f t="shared" si="33"/>
        <v>724676.6325510568</v>
      </c>
      <c r="U282" s="9">
        <f t="shared" si="34"/>
        <v>52245.537448943243</v>
      </c>
    </row>
    <row r="283" spans="1:21">
      <c r="A283" t="s">
        <v>47</v>
      </c>
      <c r="B283" s="2">
        <v>45658</v>
      </c>
      <c r="C283" t="s">
        <v>15</v>
      </c>
      <c r="D283" t="s">
        <v>28</v>
      </c>
      <c r="E283">
        <v>53084.76</v>
      </c>
      <c r="F283">
        <v>3642</v>
      </c>
      <c r="G283">
        <v>0.15</v>
      </c>
      <c r="H283">
        <v>12</v>
      </c>
      <c r="I283">
        <v>91.4</v>
      </c>
      <c r="J283">
        <v>0.2</v>
      </c>
      <c r="K283">
        <v>0</v>
      </c>
      <c r="L283">
        <v>4.4000000000000004</v>
      </c>
      <c r="M283">
        <v>635181.35</v>
      </c>
      <c r="N283">
        <v>83341.25</v>
      </c>
      <c r="O283">
        <f t="shared" si="28"/>
        <v>0.2</v>
      </c>
      <c r="P283">
        <f t="shared" si="29"/>
        <v>4.4000000000000004</v>
      </c>
      <c r="Q283">
        <f t="shared" si="30"/>
        <v>0</v>
      </c>
      <c r="R283">
        <f t="shared" si="31"/>
        <v>0</v>
      </c>
      <c r="S283">
        <f t="shared" si="32"/>
        <v>0</v>
      </c>
      <c r="T283" s="9">
        <f t="shared" si="33"/>
        <v>582151.52078150935</v>
      </c>
      <c r="U283" s="9">
        <f t="shared" si="34"/>
        <v>53029.829218490631</v>
      </c>
    </row>
    <row r="284" spans="1:21">
      <c r="A284" t="s">
        <v>45</v>
      </c>
      <c r="B284" s="2">
        <v>45717</v>
      </c>
      <c r="C284" t="s">
        <v>27</v>
      </c>
      <c r="D284" t="s">
        <v>16</v>
      </c>
      <c r="E284">
        <v>86421.88</v>
      </c>
      <c r="F284">
        <v>7970</v>
      </c>
      <c r="G284">
        <v>7.2999999999999995E-2</v>
      </c>
      <c r="H284">
        <v>17</v>
      </c>
      <c r="I284">
        <v>91.3</v>
      </c>
      <c r="J284">
        <v>0.8</v>
      </c>
      <c r="K284">
        <v>0</v>
      </c>
      <c r="L284">
        <v>5</v>
      </c>
      <c r="M284">
        <v>838250.32</v>
      </c>
      <c r="N284">
        <v>122939.34</v>
      </c>
      <c r="O284">
        <f t="shared" si="28"/>
        <v>0.8</v>
      </c>
      <c r="P284">
        <f t="shared" si="29"/>
        <v>5</v>
      </c>
      <c r="Q284">
        <f t="shared" si="30"/>
        <v>0</v>
      </c>
      <c r="R284">
        <f t="shared" si="31"/>
        <v>0</v>
      </c>
      <c r="S284">
        <f t="shared" si="32"/>
        <v>1</v>
      </c>
      <c r="T284" s="9">
        <f t="shared" si="33"/>
        <v>784113.15455702168</v>
      </c>
      <c r="U284" s="9">
        <f t="shared" si="34"/>
        <v>54137.165442978265</v>
      </c>
    </row>
    <row r="285" spans="1:21">
      <c r="A285" t="s">
        <v>37</v>
      </c>
      <c r="B285" s="2">
        <v>45658</v>
      </c>
      <c r="C285" t="s">
        <v>24</v>
      </c>
      <c r="D285" t="s">
        <v>18</v>
      </c>
      <c r="E285">
        <v>74907.98</v>
      </c>
      <c r="F285">
        <v>5306</v>
      </c>
      <c r="G285">
        <v>6.2E-2</v>
      </c>
      <c r="H285">
        <v>16</v>
      </c>
      <c r="I285">
        <v>95.6</v>
      </c>
      <c r="J285">
        <v>1.02</v>
      </c>
      <c r="K285">
        <v>0</v>
      </c>
      <c r="L285">
        <v>3.7</v>
      </c>
      <c r="M285">
        <v>749559.71</v>
      </c>
      <c r="N285">
        <v>144522.53</v>
      </c>
      <c r="O285">
        <f t="shared" si="28"/>
        <v>1.02</v>
      </c>
      <c r="P285">
        <f t="shared" si="29"/>
        <v>3.7</v>
      </c>
      <c r="Q285">
        <f t="shared" si="30"/>
        <v>0</v>
      </c>
      <c r="R285">
        <f t="shared" si="31"/>
        <v>1</v>
      </c>
      <c r="S285">
        <f t="shared" si="32"/>
        <v>0</v>
      </c>
      <c r="T285" s="9">
        <f t="shared" si="33"/>
        <v>695330.23675049632</v>
      </c>
      <c r="U285" s="9">
        <f t="shared" si="34"/>
        <v>54229.473249503644</v>
      </c>
    </row>
    <row r="286" spans="1:21">
      <c r="A286" t="s">
        <v>76</v>
      </c>
      <c r="B286" s="2">
        <v>45717</v>
      </c>
      <c r="C286" t="s">
        <v>20</v>
      </c>
      <c r="D286" t="s">
        <v>21</v>
      </c>
      <c r="E286">
        <v>58785.33</v>
      </c>
      <c r="F286">
        <v>4467</v>
      </c>
      <c r="G286">
        <v>0.22900000000000001</v>
      </c>
      <c r="H286">
        <v>14</v>
      </c>
      <c r="I286">
        <v>90.7</v>
      </c>
      <c r="J286">
        <v>1.92</v>
      </c>
      <c r="K286">
        <v>0</v>
      </c>
      <c r="L286">
        <v>3.7</v>
      </c>
      <c r="M286">
        <v>673348.56</v>
      </c>
      <c r="N286">
        <v>69464.59</v>
      </c>
      <c r="O286">
        <f t="shared" si="28"/>
        <v>1.92</v>
      </c>
      <c r="P286">
        <f t="shared" si="29"/>
        <v>3.7</v>
      </c>
      <c r="Q286">
        <f t="shared" si="30"/>
        <v>1</v>
      </c>
      <c r="R286">
        <f t="shared" si="31"/>
        <v>0</v>
      </c>
      <c r="S286">
        <f t="shared" si="32"/>
        <v>0</v>
      </c>
      <c r="T286" s="9">
        <f t="shared" si="33"/>
        <v>618071.31274559326</v>
      </c>
      <c r="U286" s="9">
        <f t="shared" si="34"/>
        <v>55277.2472544068</v>
      </c>
    </row>
    <row r="287" spans="1:21">
      <c r="A287" t="s">
        <v>88</v>
      </c>
      <c r="B287" s="2">
        <v>45748</v>
      </c>
      <c r="C287" t="s">
        <v>15</v>
      </c>
      <c r="D287" t="s">
        <v>18</v>
      </c>
      <c r="E287">
        <v>67722.289999999994</v>
      </c>
      <c r="F287">
        <v>7240</v>
      </c>
      <c r="G287">
        <v>2.5999999999999999E-2</v>
      </c>
      <c r="H287">
        <v>15</v>
      </c>
      <c r="I287">
        <v>92.9</v>
      </c>
      <c r="J287">
        <v>0.28999999999999998</v>
      </c>
      <c r="K287">
        <v>0</v>
      </c>
      <c r="L287">
        <v>3.5</v>
      </c>
      <c r="M287">
        <v>762328.31</v>
      </c>
      <c r="N287">
        <v>159158.19</v>
      </c>
      <c r="O287">
        <f t="shared" si="28"/>
        <v>0.28999999999999998</v>
      </c>
      <c r="P287">
        <f t="shared" si="29"/>
        <v>3.5</v>
      </c>
      <c r="Q287">
        <f t="shared" si="30"/>
        <v>0</v>
      </c>
      <c r="R287">
        <f t="shared" si="31"/>
        <v>0</v>
      </c>
      <c r="S287">
        <f t="shared" si="32"/>
        <v>0</v>
      </c>
      <c r="T287" s="9">
        <f t="shared" si="33"/>
        <v>706180.26182951184</v>
      </c>
      <c r="U287" s="9">
        <f t="shared" si="34"/>
        <v>56148.048170488211</v>
      </c>
    </row>
    <row r="288" spans="1:21">
      <c r="A288" t="s">
        <v>39</v>
      </c>
      <c r="B288" s="2">
        <v>45748</v>
      </c>
      <c r="C288" t="s">
        <v>15</v>
      </c>
      <c r="D288" t="s">
        <v>18</v>
      </c>
      <c r="E288">
        <v>55081.16</v>
      </c>
      <c r="F288">
        <v>5485</v>
      </c>
      <c r="G288">
        <v>3.5999999999999997E-2</v>
      </c>
      <c r="H288">
        <v>12</v>
      </c>
      <c r="I288">
        <v>88</v>
      </c>
      <c r="K288">
        <v>0</v>
      </c>
      <c r="L288">
        <v>3.5</v>
      </c>
      <c r="M288">
        <v>674774.09</v>
      </c>
      <c r="N288">
        <v>141917.59</v>
      </c>
      <c r="O288">
        <f t="shared" si="28"/>
        <v>0</v>
      </c>
      <c r="P288">
        <f t="shared" si="29"/>
        <v>3.5</v>
      </c>
      <c r="Q288">
        <f t="shared" si="30"/>
        <v>0</v>
      </c>
      <c r="R288">
        <f t="shared" si="31"/>
        <v>0</v>
      </c>
      <c r="S288">
        <f t="shared" si="32"/>
        <v>0</v>
      </c>
      <c r="T288" s="9">
        <f t="shared" si="33"/>
        <v>618323.08378885966</v>
      </c>
      <c r="U288" s="9">
        <f t="shared" si="34"/>
        <v>56451.006211140309</v>
      </c>
    </row>
    <row r="289" spans="1:21">
      <c r="A289" t="s">
        <v>40</v>
      </c>
      <c r="B289" s="2">
        <v>45717</v>
      </c>
      <c r="C289" t="s">
        <v>15</v>
      </c>
      <c r="D289" t="s">
        <v>16</v>
      </c>
      <c r="E289">
        <v>70144.78</v>
      </c>
      <c r="F289">
        <v>6806</v>
      </c>
      <c r="G289">
        <v>0.17799999999999999</v>
      </c>
      <c r="H289">
        <v>20</v>
      </c>
      <c r="I289">
        <v>93.1</v>
      </c>
      <c r="J289">
        <v>0.28000000000000003</v>
      </c>
      <c r="K289">
        <v>1</v>
      </c>
      <c r="L289">
        <v>4.3</v>
      </c>
      <c r="M289">
        <v>788087.68</v>
      </c>
      <c r="N289">
        <v>116803.42</v>
      </c>
      <c r="O289">
        <f t="shared" si="28"/>
        <v>0.28000000000000003</v>
      </c>
      <c r="P289">
        <f t="shared" si="29"/>
        <v>4.3</v>
      </c>
      <c r="Q289">
        <f t="shared" si="30"/>
        <v>0</v>
      </c>
      <c r="R289">
        <f t="shared" si="31"/>
        <v>0</v>
      </c>
      <c r="S289">
        <f t="shared" si="32"/>
        <v>0</v>
      </c>
      <c r="T289" s="9">
        <f t="shared" si="33"/>
        <v>731218.37459526106</v>
      </c>
      <c r="U289" s="9">
        <f t="shared" si="34"/>
        <v>56869.305404738989</v>
      </c>
    </row>
    <row r="290" spans="1:21">
      <c r="A290" t="s">
        <v>87</v>
      </c>
      <c r="B290" s="2">
        <v>45717</v>
      </c>
      <c r="C290" t="s">
        <v>27</v>
      </c>
      <c r="D290" t="s">
        <v>18</v>
      </c>
      <c r="E290">
        <v>51450.55</v>
      </c>
      <c r="F290">
        <v>4902</v>
      </c>
      <c r="G290">
        <v>8.5999999999999993E-2</v>
      </c>
      <c r="H290">
        <v>11</v>
      </c>
      <c r="I290">
        <v>83.7</v>
      </c>
      <c r="J290">
        <v>6.92</v>
      </c>
      <c r="K290">
        <v>1</v>
      </c>
      <c r="L290">
        <v>4.2</v>
      </c>
      <c r="M290">
        <v>677640.65</v>
      </c>
      <c r="N290">
        <v>111610.89</v>
      </c>
      <c r="O290">
        <f t="shared" si="28"/>
        <v>6.92</v>
      </c>
      <c r="P290">
        <f t="shared" si="29"/>
        <v>4.2</v>
      </c>
      <c r="Q290">
        <f t="shared" si="30"/>
        <v>0</v>
      </c>
      <c r="R290">
        <f t="shared" si="31"/>
        <v>0</v>
      </c>
      <c r="S290">
        <f t="shared" si="32"/>
        <v>1</v>
      </c>
      <c r="T290" s="9">
        <f t="shared" si="33"/>
        <v>620659.61991081235</v>
      </c>
      <c r="U290" s="9">
        <f t="shared" si="34"/>
        <v>56981.030089187669</v>
      </c>
    </row>
    <row r="291" spans="1:21">
      <c r="A291" t="s">
        <v>42</v>
      </c>
      <c r="B291" s="2">
        <v>45689</v>
      </c>
      <c r="C291" t="s">
        <v>27</v>
      </c>
      <c r="D291" t="s">
        <v>28</v>
      </c>
      <c r="E291">
        <v>60628.38</v>
      </c>
      <c r="F291">
        <v>4451</v>
      </c>
      <c r="G291">
        <v>9.5000000000000001E-2</v>
      </c>
      <c r="H291">
        <v>10</v>
      </c>
      <c r="I291">
        <v>89.6</v>
      </c>
      <c r="J291">
        <v>3.17</v>
      </c>
      <c r="K291">
        <v>0</v>
      </c>
      <c r="L291">
        <v>4.5999999999999996</v>
      </c>
      <c r="M291">
        <v>682208.01</v>
      </c>
      <c r="N291">
        <v>110318.84</v>
      </c>
      <c r="O291">
        <f t="shared" si="28"/>
        <v>3.17</v>
      </c>
      <c r="P291">
        <f t="shared" si="29"/>
        <v>4.5999999999999996</v>
      </c>
      <c r="Q291">
        <f t="shared" si="30"/>
        <v>0</v>
      </c>
      <c r="R291">
        <f t="shared" si="31"/>
        <v>0</v>
      </c>
      <c r="S291">
        <f t="shared" si="32"/>
        <v>1</v>
      </c>
      <c r="T291" s="9">
        <f t="shared" si="33"/>
        <v>624667.46384855057</v>
      </c>
      <c r="U291" s="9">
        <f t="shared" si="34"/>
        <v>57540.546151449438</v>
      </c>
    </row>
    <row r="292" spans="1:21">
      <c r="A292" t="s">
        <v>68</v>
      </c>
      <c r="B292" s="2">
        <v>45717</v>
      </c>
      <c r="C292" t="s">
        <v>20</v>
      </c>
      <c r="D292" t="s">
        <v>18</v>
      </c>
      <c r="E292">
        <v>48031.74</v>
      </c>
      <c r="F292">
        <v>6516</v>
      </c>
      <c r="G292">
        <v>6.7000000000000004E-2</v>
      </c>
      <c r="H292">
        <v>14</v>
      </c>
      <c r="I292">
        <v>99</v>
      </c>
      <c r="J292">
        <v>0.48</v>
      </c>
      <c r="K292">
        <v>1</v>
      </c>
      <c r="L292">
        <v>4.3</v>
      </c>
      <c r="M292">
        <v>765906.95</v>
      </c>
      <c r="N292">
        <v>114005.9</v>
      </c>
      <c r="O292">
        <f t="shared" si="28"/>
        <v>0.48</v>
      </c>
      <c r="P292">
        <f t="shared" si="29"/>
        <v>4.3</v>
      </c>
      <c r="Q292">
        <f t="shared" si="30"/>
        <v>1</v>
      </c>
      <c r="R292">
        <f t="shared" si="31"/>
        <v>0</v>
      </c>
      <c r="S292">
        <f t="shared" si="32"/>
        <v>0</v>
      </c>
      <c r="T292" s="9">
        <f t="shared" si="33"/>
        <v>707932.02968661976</v>
      </c>
      <c r="U292" s="9">
        <f t="shared" si="34"/>
        <v>57974.920313380193</v>
      </c>
    </row>
    <row r="293" spans="1:21">
      <c r="A293" t="s">
        <v>32</v>
      </c>
      <c r="B293" s="2">
        <v>45717</v>
      </c>
      <c r="C293" t="s">
        <v>15</v>
      </c>
      <c r="D293" t="s">
        <v>28</v>
      </c>
      <c r="E293">
        <v>68077.539999999994</v>
      </c>
      <c r="F293">
        <v>3360</v>
      </c>
      <c r="G293">
        <v>0.128</v>
      </c>
      <c r="H293">
        <v>14</v>
      </c>
      <c r="I293">
        <v>88.2</v>
      </c>
      <c r="J293">
        <v>1.24</v>
      </c>
      <c r="K293">
        <v>1</v>
      </c>
      <c r="L293">
        <v>4</v>
      </c>
      <c r="M293">
        <v>657429.18000000005</v>
      </c>
      <c r="N293">
        <v>88919.74</v>
      </c>
      <c r="O293">
        <f t="shared" si="28"/>
        <v>1.24</v>
      </c>
      <c r="P293">
        <f t="shared" si="29"/>
        <v>4</v>
      </c>
      <c r="Q293">
        <f t="shared" si="30"/>
        <v>0</v>
      </c>
      <c r="R293">
        <f t="shared" si="31"/>
        <v>0</v>
      </c>
      <c r="S293">
        <f t="shared" si="32"/>
        <v>0</v>
      </c>
      <c r="T293" s="9">
        <f t="shared" si="33"/>
        <v>596340.8327699384</v>
      </c>
      <c r="U293" s="9">
        <f t="shared" si="34"/>
        <v>61088.347230061656</v>
      </c>
    </row>
    <row r="294" spans="1:21">
      <c r="A294" t="s">
        <v>89</v>
      </c>
      <c r="B294" s="2">
        <v>45689</v>
      </c>
      <c r="C294" t="s">
        <v>15</v>
      </c>
      <c r="D294" t="s">
        <v>28</v>
      </c>
      <c r="E294">
        <v>23914.97</v>
      </c>
      <c r="F294">
        <v>8018</v>
      </c>
      <c r="G294">
        <v>0.13900000000000001</v>
      </c>
      <c r="H294">
        <v>20</v>
      </c>
      <c r="I294">
        <v>89</v>
      </c>
      <c r="J294">
        <v>0.2</v>
      </c>
      <c r="K294">
        <v>0</v>
      </c>
      <c r="L294">
        <v>3.5</v>
      </c>
      <c r="M294">
        <v>739374.56</v>
      </c>
      <c r="N294">
        <v>121032.29</v>
      </c>
      <c r="O294">
        <f t="shared" si="28"/>
        <v>0.2</v>
      </c>
      <c r="P294">
        <f t="shared" si="29"/>
        <v>3.5</v>
      </c>
      <c r="Q294">
        <f t="shared" si="30"/>
        <v>0</v>
      </c>
      <c r="R294">
        <f t="shared" si="31"/>
        <v>0</v>
      </c>
      <c r="S294">
        <f t="shared" si="32"/>
        <v>0</v>
      </c>
      <c r="T294" s="9">
        <f t="shared" si="33"/>
        <v>677804.78713238239</v>
      </c>
      <c r="U294" s="9">
        <f t="shared" si="34"/>
        <v>61569.772867617663</v>
      </c>
    </row>
    <row r="295" spans="1:21">
      <c r="A295" t="s">
        <v>80</v>
      </c>
      <c r="B295" s="2">
        <v>45689</v>
      </c>
      <c r="C295" t="s">
        <v>27</v>
      </c>
      <c r="D295" t="s">
        <v>16</v>
      </c>
      <c r="E295">
        <v>61650.79</v>
      </c>
      <c r="F295">
        <v>5321</v>
      </c>
      <c r="G295">
        <v>0.126</v>
      </c>
      <c r="H295">
        <v>17</v>
      </c>
      <c r="I295">
        <v>89.2</v>
      </c>
      <c r="J295">
        <v>2.13</v>
      </c>
      <c r="K295">
        <v>0</v>
      </c>
      <c r="L295">
        <v>4</v>
      </c>
      <c r="M295">
        <v>723305.11</v>
      </c>
      <c r="N295">
        <v>128468.7</v>
      </c>
      <c r="O295">
        <f t="shared" si="28"/>
        <v>2.13</v>
      </c>
      <c r="P295">
        <f t="shared" si="29"/>
        <v>4</v>
      </c>
      <c r="Q295">
        <f t="shared" si="30"/>
        <v>0</v>
      </c>
      <c r="R295">
        <f t="shared" si="31"/>
        <v>0</v>
      </c>
      <c r="S295">
        <f t="shared" si="32"/>
        <v>1</v>
      </c>
      <c r="T295" s="9">
        <f t="shared" si="33"/>
        <v>661609.28441113292</v>
      </c>
      <c r="U295" s="9">
        <f t="shared" si="34"/>
        <v>61695.825588867068</v>
      </c>
    </row>
    <row r="296" spans="1:21">
      <c r="A296" t="s">
        <v>53</v>
      </c>
      <c r="B296" s="2">
        <v>45658</v>
      </c>
      <c r="C296" t="s">
        <v>24</v>
      </c>
      <c r="D296" t="s">
        <v>18</v>
      </c>
      <c r="E296">
        <v>61541.21</v>
      </c>
      <c r="F296">
        <v>10396</v>
      </c>
      <c r="G296">
        <v>0.123</v>
      </c>
      <c r="H296">
        <v>25</v>
      </c>
      <c r="I296">
        <v>88.1</v>
      </c>
      <c r="J296">
        <v>2.34</v>
      </c>
      <c r="K296">
        <v>1</v>
      </c>
      <c r="L296">
        <v>4.8</v>
      </c>
      <c r="M296">
        <v>914544.17</v>
      </c>
      <c r="N296">
        <v>79831.73</v>
      </c>
      <c r="O296">
        <f t="shared" si="28"/>
        <v>2.34</v>
      </c>
      <c r="P296">
        <f t="shared" si="29"/>
        <v>4.8</v>
      </c>
      <c r="Q296">
        <f t="shared" si="30"/>
        <v>0</v>
      </c>
      <c r="R296">
        <f t="shared" si="31"/>
        <v>1</v>
      </c>
      <c r="S296">
        <f t="shared" si="32"/>
        <v>0</v>
      </c>
      <c r="T296" s="9">
        <f t="shared" si="33"/>
        <v>851618.18722991901</v>
      </c>
      <c r="U296" s="9">
        <f t="shared" si="34"/>
        <v>62925.982770081027</v>
      </c>
    </row>
    <row r="297" spans="1:21">
      <c r="A297" t="s">
        <v>71</v>
      </c>
      <c r="B297" s="2">
        <v>45748</v>
      </c>
      <c r="C297" t="s">
        <v>20</v>
      </c>
      <c r="D297" t="s">
        <v>16</v>
      </c>
      <c r="E297">
        <v>61391.8</v>
      </c>
      <c r="F297">
        <v>5575</v>
      </c>
      <c r="G297">
        <v>0.189</v>
      </c>
      <c r="H297">
        <v>18</v>
      </c>
      <c r="I297">
        <v>90</v>
      </c>
      <c r="J297">
        <v>1.8</v>
      </c>
      <c r="K297">
        <v>0</v>
      </c>
      <c r="L297">
        <v>4.8</v>
      </c>
      <c r="M297">
        <v>735786.64</v>
      </c>
      <c r="N297">
        <v>126540.66</v>
      </c>
      <c r="O297">
        <f t="shared" si="28"/>
        <v>1.8</v>
      </c>
      <c r="P297">
        <f t="shared" si="29"/>
        <v>4.8</v>
      </c>
      <c r="Q297">
        <f t="shared" si="30"/>
        <v>1</v>
      </c>
      <c r="R297">
        <f t="shared" si="31"/>
        <v>0</v>
      </c>
      <c r="S297">
        <f t="shared" si="32"/>
        <v>0</v>
      </c>
      <c r="T297" s="9">
        <f t="shared" si="33"/>
        <v>672807.32254409487</v>
      </c>
      <c r="U297" s="9">
        <f t="shared" si="34"/>
        <v>62979.31745590514</v>
      </c>
    </row>
    <row r="298" spans="1:21">
      <c r="A298" t="s">
        <v>62</v>
      </c>
      <c r="B298" s="2">
        <v>45689</v>
      </c>
      <c r="C298" t="s">
        <v>24</v>
      </c>
      <c r="D298" t="s">
        <v>18</v>
      </c>
      <c r="E298">
        <v>48438.85</v>
      </c>
      <c r="F298">
        <v>6992</v>
      </c>
      <c r="G298">
        <v>3.4000000000000002E-2</v>
      </c>
      <c r="H298">
        <v>20</v>
      </c>
      <c r="I298">
        <v>91</v>
      </c>
      <c r="J298">
        <v>4.3600000000000003</v>
      </c>
      <c r="K298">
        <v>0</v>
      </c>
      <c r="L298">
        <v>4.2</v>
      </c>
      <c r="M298">
        <v>778298.88</v>
      </c>
      <c r="N298">
        <v>130076.72</v>
      </c>
      <c r="O298">
        <f t="shared" si="28"/>
        <v>4.3600000000000003</v>
      </c>
      <c r="P298">
        <f t="shared" si="29"/>
        <v>4.2</v>
      </c>
      <c r="Q298">
        <f t="shared" si="30"/>
        <v>0</v>
      </c>
      <c r="R298">
        <f t="shared" si="31"/>
        <v>1</v>
      </c>
      <c r="S298">
        <f t="shared" si="32"/>
        <v>0</v>
      </c>
      <c r="T298" s="9">
        <f t="shared" si="33"/>
        <v>714361.69337185612</v>
      </c>
      <c r="U298" s="9">
        <f t="shared" si="34"/>
        <v>63937.186628143885</v>
      </c>
    </row>
    <row r="299" spans="1:21">
      <c r="A299" t="s">
        <v>97</v>
      </c>
      <c r="B299" s="2">
        <v>45748</v>
      </c>
      <c r="C299" t="s">
        <v>20</v>
      </c>
      <c r="D299" t="s">
        <v>28</v>
      </c>
      <c r="E299">
        <v>31997.25</v>
      </c>
      <c r="F299">
        <v>8183</v>
      </c>
      <c r="G299">
        <v>0.19800000000000001</v>
      </c>
      <c r="H299">
        <v>18</v>
      </c>
      <c r="I299">
        <v>93</v>
      </c>
      <c r="J299">
        <v>2.79</v>
      </c>
      <c r="K299">
        <v>0</v>
      </c>
      <c r="L299">
        <v>4.2</v>
      </c>
      <c r="M299">
        <v>780580.95</v>
      </c>
      <c r="N299">
        <v>138144.46</v>
      </c>
      <c r="O299">
        <f t="shared" si="28"/>
        <v>2.79</v>
      </c>
      <c r="P299">
        <f t="shared" si="29"/>
        <v>4.2</v>
      </c>
      <c r="Q299">
        <f t="shared" si="30"/>
        <v>1</v>
      </c>
      <c r="R299">
        <f t="shared" si="31"/>
        <v>0</v>
      </c>
      <c r="S299">
        <f t="shared" si="32"/>
        <v>0</v>
      </c>
      <c r="T299" s="9">
        <f t="shared" si="33"/>
        <v>715608.68210169848</v>
      </c>
      <c r="U299" s="9">
        <f t="shared" si="34"/>
        <v>64972.267898301478</v>
      </c>
    </row>
    <row r="300" spans="1:21">
      <c r="A300" t="s">
        <v>19</v>
      </c>
      <c r="B300" s="2">
        <v>45748</v>
      </c>
      <c r="C300" t="s">
        <v>20</v>
      </c>
      <c r="D300" t="s">
        <v>21</v>
      </c>
      <c r="E300">
        <v>67979.88</v>
      </c>
      <c r="F300">
        <v>11230</v>
      </c>
      <c r="G300">
        <v>2E-3</v>
      </c>
      <c r="H300">
        <v>28</v>
      </c>
      <c r="I300">
        <v>85.3</v>
      </c>
      <c r="J300">
        <v>7.16</v>
      </c>
      <c r="K300">
        <v>0</v>
      </c>
      <c r="L300">
        <v>3.8</v>
      </c>
      <c r="M300">
        <v>910791.94</v>
      </c>
      <c r="N300">
        <v>158891.28</v>
      </c>
      <c r="O300">
        <f t="shared" si="28"/>
        <v>7.16</v>
      </c>
      <c r="P300">
        <f t="shared" si="29"/>
        <v>3.8</v>
      </c>
      <c r="Q300">
        <f t="shared" si="30"/>
        <v>1</v>
      </c>
      <c r="R300">
        <f t="shared" si="31"/>
        <v>0</v>
      </c>
      <c r="S300">
        <f t="shared" si="32"/>
        <v>0</v>
      </c>
      <c r="T300" s="9">
        <f t="shared" si="33"/>
        <v>845305.4757132096</v>
      </c>
      <c r="U300" s="9">
        <f t="shared" si="34"/>
        <v>65486.464286790346</v>
      </c>
    </row>
    <row r="301" spans="1:21">
      <c r="A301" t="s">
        <v>61</v>
      </c>
      <c r="B301" s="2">
        <v>45748</v>
      </c>
      <c r="C301" t="s">
        <v>20</v>
      </c>
      <c r="D301" t="s">
        <v>28</v>
      </c>
      <c r="E301">
        <v>23254.57</v>
      </c>
      <c r="F301">
        <v>3847</v>
      </c>
      <c r="G301">
        <v>0.159</v>
      </c>
      <c r="H301">
        <v>12</v>
      </c>
      <c r="I301">
        <v>93</v>
      </c>
      <c r="J301">
        <v>5.46</v>
      </c>
      <c r="K301">
        <v>0</v>
      </c>
      <c r="L301">
        <v>3.3</v>
      </c>
      <c r="M301">
        <v>620973.03</v>
      </c>
      <c r="N301">
        <v>72303.850000000006</v>
      </c>
      <c r="O301">
        <f t="shared" si="28"/>
        <v>5.46</v>
      </c>
      <c r="P301">
        <f t="shared" si="29"/>
        <v>3.3</v>
      </c>
      <c r="Q301">
        <f t="shared" si="30"/>
        <v>1</v>
      </c>
      <c r="R301">
        <f t="shared" si="31"/>
        <v>0</v>
      </c>
      <c r="S301">
        <f t="shared" si="32"/>
        <v>0</v>
      </c>
      <c r="T301" s="9">
        <f t="shared" si="33"/>
        <v>555311.99220916792</v>
      </c>
      <c r="U301" s="9">
        <f t="shared" si="34"/>
        <v>65661.03779083211</v>
      </c>
    </row>
    <row r="302" spans="1:21">
      <c r="A302" t="s">
        <v>39</v>
      </c>
      <c r="B302" s="2">
        <v>45658</v>
      </c>
      <c r="C302" t="s">
        <v>15</v>
      </c>
      <c r="D302" t="s">
        <v>18</v>
      </c>
      <c r="E302">
        <v>70937.240000000005</v>
      </c>
      <c r="F302">
        <v>3595</v>
      </c>
      <c r="G302">
        <v>0.14099999999999999</v>
      </c>
      <c r="H302">
        <v>11</v>
      </c>
      <c r="I302">
        <v>88.9</v>
      </c>
      <c r="J302">
        <v>2.83</v>
      </c>
      <c r="K302">
        <v>1</v>
      </c>
      <c r="L302">
        <v>3.3</v>
      </c>
      <c r="M302">
        <v>661927.14</v>
      </c>
      <c r="N302">
        <v>79218.570000000007</v>
      </c>
      <c r="O302">
        <f t="shared" si="28"/>
        <v>2.83</v>
      </c>
      <c r="P302">
        <f t="shared" si="29"/>
        <v>3.3</v>
      </c>
      <c r="Q302">
        <f t="shared" si="30"/>
        <v>0</v>
      </c>
      <c r="R302">
        <f t="shared" si="31"/>
        <v>0</v>
      </c>
      <c r="S302">
        <f t="shared" si="32"/>
        <v>0</v>
      </c>
      <c r="T302" s="9">
        <f t="shared" si="33"/>
        <v>593588.26829532266</v>
      </c>
      <c r="U302" s="9">
        <f t="shared" si="34"/>
        <v>68338.871704677353</v>
      </c>
    </row>
    <row r="303" spans="1:21">
      <c r="A303" t="s">
        <v>86</v>
      </c>
      <c r="B303" s="2">
        <v>45658</v>
      </c>
      <c r="C303" t="s">
        <v>24</v>
      </c>
      <c r="D303" t="s">
        <v>28</v>
      </c>
      <c r="E303">
        <v>65272.58</v>
      </c>
      <c r="F303">
        <v>8165</v>
      </c>
      <c r="G303">
        <v>5.0999999999999997E-2</v>
      </c>
      <c r="H303">
        <v>19</v>
      </c>
      <c r="I303">
        <v>87.8</v>
      </c>
      <c r="J303">
        <v>1.26</v>
      </c>
      <c r="K303">
        <v>1</v>
      </c>
      <c r="L303">
        <v>4.3</v>
      </c>
      <c r="M303">
        <v>840108.12</v>
      </c>
      <c r="N303">
        <v>126587.01</v>
      </c>
      <c r="O303">
        <f t="shared" si="28"/>
        <v>1.26</v>
      </c>
      <c r="P303">
        <f t="shared" si="29"/>
        <v>4.3</v>
      </c>
      <c r="Q303">
        <f t="shared" si="30"/>
        <v>0</v>
      </c>
      <c r="R303">
        <f t="shared" si="31"/>
        <v>1</v>
      </c>
      <c r="S303">
        <f t="shared" si="32"/>
        <v>0</v>
      </c>
      <c r="T303" s="9">
        <f t="shared" si="33"/>
        <v>770174.69136993191</v>
      </c>
      <c r="U303" s="9">
        <f t="shared" si="34"/>
        <v>69933.428630068083</v>
      </c>
    </row>
    <row r="304" spans="1:21">
      <c r="A304" t="s">
        <v>66</v>
      </c>
      <c r="B304" s="2">
        <v>45689</v>
      </c>
      <c r="C304" t="s">
        <v>27</v>
      </c>
      <c r="D304" t="s">
        <v>21</v>
      </c>
      <c r="E304">
        <v>29389.32</v>
      </c>
      <c r="F304">
        <v>7925</v>
      </c>
      <c r="G304">
        <v>0.17699999999999999</v>
      </c>
      <c r="H304">
        <v>21</v>
      </c>
      <c r="I304">
        <v>90.9</v>
      </c>
      <c r="J304">
        <v>7.86</v>
      </c>
      <c r="K304">
        <v>0</v>
      </c>
      <c r="L304">
        <v>4</v>
      </c>
      <c r="M304">
        <v>783582</v>
      </c>
      <c r="N304">
        <v>130670.93</v>
      </c>
      <c r="O304">
        <f t="shared" si="28"/>
        <v>7.86</v>
      </c>
      <c r="P304">
        <f t="shared" si="29"/>
        <v>4</v>
      </c>
      <c r="Q304">
        <f t="shared" si="30"/>
        <v>0</v>
      </c>
      <c r="R304">
        <f t="shared" si="31"/>
        <v>0</v>
      </c>
      <c r="S304">
        <f t="shared" si="32"/>
        <v>1</v>
      </c>
      <c r="T304" s="9">
        <f t="shared" si="33"/>
        <v>713587.90936364152</v>
      </c>
      <c r="U304" s="9">
        <f t="shared" si="34"/>
        <v>69994.09063635848</v>
      </c>
    </row>
    <row r="305" spans="1:21">
      <c r="A305" t="s">
        <v>19</v>
      </c>
      <c r="B305" s="2">
        <v>45658</v>
      </c>
      <c r="C305" t="s">
        <v>20</v>
      </c>
      <c r="D305" t="s">
        <v>21</v>
      </c>
      <c r="E305">
        <v>71838.86</v>
      </c>
      <c r="F305">
        <v>10979</v>
      </c>
      <c r="G305">
        <v>0.215</v>
      </c>
      <c r="H305">
        <v>26</v>
      </c>
      <c r="I305">
        <v>88.6</v>
      </c>
      <c r="J305">
        <v>7.7</v>
      </c>
      <c r="K305">
        <v>1</v>
      </c>
      <c r="L305">
        <v>3.8</v>
      </c>
      <c r="M305">
        <v>930581.7</v>
      </c>
      <c r="N305">
        <v>136207.98000000001</v>
      </c>
      <c r="O305">
        <f t="shared" si="28"/>
        <v>7.7</v>
      </c>
      <c r="P305">
        <f t="shared" si="29"/>
        <v>3.8</v>
      </c>
      <c r="Q305">
        <f t="shared" si="30"/>
        <v>1</v>
      </c>
      <c r="R305">
        <f t="shared" si="31"/>
        <v>0</v>
      </c>
      <c r="S305">
        <f t="shared" si="32"/>
        <v>0</v>
      </c>
      <c r="T305" s="9">
        <f t="shared" si="33"/>
        <v>860120.27898265189</v>
      </c>
      <c r="U305" s="9">
        <f t="shared" si="34"/>
        <v>70461.421017348068</v>
      </c>
    </row>
    <row r="306" spans="1:21">
      <c r="A306" t="s">
        <v>73</v>
      </c>
      <c r="B306" s="2">
        <v>45689</v>
      </c>
      <c r="C306" t="s">
        <v>15</v>
      </c>
      <c r="D306" t="s">
        <v>28</v>
      </c>
      <c r="E306">
        <v>54300.87</v>
      </c>
      <c r="F306">
        <v>7875</v>
      </c>
      <c r="G306">
        <v>0.107</v>
      </c>
      <c r="H306">
        <v>19</v>
      </c>
      <c r="I306">
        <v>94.1</v>
      </c>
      <c r="J306">
        <v>0.95</v>
      </c>
      <c r="K306">
        <v>0</v>
      </c>
      <c r="L306">
        <v>3.7</v>
      </c>
      <c r="M306">
        <v>795464.47</v>
      </c>
      <c r="N306">
        <v>161150.51999999999</v>
      </c>
      <c r="O306">
        <f t="shared" si="28"/>
        <v>0.95</v>
      </c>
      <c r="P306">
        <f t="shared" si="29"/>
        <v>3.7</v>
      </c>
      <c r="Q306">
        <f t="shared" si="30"/>
        <v>0</v>
      </c>
      <c r="R306">
        <f t="shared" si="31"/>
        <v>0</v>
      </c>
      <c r="S306">
        <f t="shared" si="32"/>
        <v>0</v>
      </c>
      <c r="T306" s="9">
        <f t="shared" si="33"/>
        <v>724422.52766195976</v>
      </c>
      <c r="U306" s="9">
        <f t="shared" si="34"/>
        <v>71041.942338040215</v>
      </c>
    </row>
    <row r="307" spans="1:21">
      <c r="A307" t="s">
        <v>17</v>
      </c>
      <c r="B307" s="2">
        <v>45748</v>
      </c>
      <c r="C307" t="s">
        <v>15</v>
      </c>
      <c r="D307" t="s">
        <v>18</v>
      </c>
      <c r="E307">
        <v>68148.52</v>
      </c>
      <c r="F307">
        <v>8567</v>
      </c>
      <c r="G307">
        <v>0.127</v>
      </c>
      <c r="H307">
        <v>23</v>
      </c>
      <c r="I307">
        <v>95.6</v>
      </c>
      <c r="J307">
        <v>0.8</v>
      </c>
      <c r="K307">
        <v>0</v>
      </c>
      <c r="L307">
        <v>3.9</v>
      </c>
      <c r="M307">
        <v>850164.26</v>
      </c>
      <c r="N307">
        <v>149262.75</v>
      </c>
      <c r="O307">
        <f t="shared" si="28"/>
        <v>0.8</v>
      </c>
      <c r="P307">
        <f t="shared" si="29"/>
        <v>3.9</v>
      </c>
      <c r="Q307">
        <f t="shared" si="30"/>
        <v>0</v>
      </c>
      <c r="R307">
        <f t="shared" si="31"/>
        <v>0</v>
      </c>
      <c r="S307">
        <f t="shared" si="32"/>
        <v>0</v>
      </c>
      <c r="T307" s="9">
        <f t="shared" si="33"/>
        <v>777691.82193537254</v>
      </c>
      <c r="U307" s="9">
        <f t="shared" si="34"/>
        <v>72472.438064627466</v>
      </c>
    </row>
    <row r="308" spans="1:21">
      <c r="A308" t="s">
        <v>46</v>
      </c>
      <c r="B308" s="2">
        <v>45689</v>
      </c>
      <c r="C308" t="s">
        <v>27</v>
      </c>
      <c r="D308" t="s">
        <v>28</v>
      </c>
      <c r="E308">
        <v>78839.39</v>
      </c>
      <c r="F308">
        <v>5150</v>
      </c>
      <c r="G308">
        <v>0.17100000000000001</v>
      </c>
      <c r="H308">
        <v>13</v>
      </c>
      <c r="I308">
        <v>85.8</v>
      </c>
      <c r="J308">
        <v>7.57</v>
      </c>
      <c r="K308">
        <v>0</v>
      </c>
      <c r="L308">
        <v>4.3</v>
      </c>
      <c r="M308">
        <v>735509.4</v>
      </c>
      <c r="N308">
        <v>83895.96</v>
      </c>
      <c r="O308">
        <f t="shared" si="28"/>
        <v>7.57</v>
      </c>
      <c r="P308">
        <f t="shared" si="29"/>
        <v>4.3</v>
      </c>
      <c r="Q308">
        <f t="shared" si="30"/>
        <v>0</v>
      </c>
      <c r="R308">
        <f t="shared" si="31"/>
        <v>0</v>
      </c>
      <c r="S308">
        <f t="shared" si="32"/>
        <v>1</v>
      </c>
      <c r="T308" s="9">
        <f t="shared" si="33"/>
        <v>659950.43114863255</v>
      </c>
      <c r="U308" s="9">
        <f t="shared" si="34"/>
        <v>75558.968851367477</v>
      </c>
    </row>
    <row r="309" spans="1:21">
      <c r="A309" t="s">
        <v>66</v>
      </c>
      <c r="B309" s="2">
        <v>45748</v>
      </c>
      <c r="C309" t="s">
        <v>27</v>
      </c>
      <c r="D309" t="s">
        <v>21</v>
      </c>
      <c r="E309">
        <v>74881.56</v>
      </c>
      <c r="F309">
        <v>9999</v>
      </c>
      <c r="G309">
        <v>1.2999999999999999E-2</v>
      </c>
      <c r="H309">
        <v>20</v>
      </c>
      <c r="I309">
        <v>89.6</v>
      </c>
      <c r="J309">
        <v>8.44</v>
      </c>
      <c r="K309">
        <v>0</v>
      </c>
      <c r="L309">
        <v>4.0999999999999996</v>
      </c>
      <c r="M309">
        <v>898031.04</v>
      </c>
      <c r="N309">
        <v>138666.5</v>
      </c>
      <c r="O309">
        <f t="shared" si="28"/>
        <v>8.44</v>
      </c>
      <c r="P309">
        <f t="shared" si="29"/>
        <v>4.0999999999999996</v>
      </c>
      <c r="Q309">
        <f t="shared" si="30"/>
        <v>0</v>
      </c>
      <c r="R309">
        <f t="shared" si="31"/>
        <v>0</v>
      </c>
      <c r="S309">
        <f t="shared" si="32"/>
        <v>1</v>
      </c>
      <c r="T309" s="9">
        <f t="shared" si="33"/>
        <v>822257.70943057421</v>
      </c>
      <c r="U309" s="9">
        <f t="shared" si="34"/>
        <v>75773.330569425831</v>
      </c>
    </row>
    <row r="310" spans="1:21">
      <c r="A310" t="s">
        <v>61</v>
      </c>
      <c r="B310" s="2">
        <v>45717</v>
      </c>
      <c r="C310" t="s">
        <v>20</v>
      </c>
      <c r="D310" t="s">
        <v>28</v>
      </c>
      <c r="E310">
        <v>56918.16</v>
      </c>
      <c r="F310">
        <v>7015</v>
      </c>
      <c r="G310">
        <v>0.158</v>
      </c>
      <c r="H310">
        <v>18</v>
      </c>
      <c r="I310">
        <v>74.2</v>
      </c>
      <c r="J310">
        <v>0.2</v>
      </c>
      <c r="K310">
        <v>0</v>
      </c>
      <c r="L310">
        <v>3.4</v>
      </c>
      <c r="M310">
        <v>724216.07</v>
      </c>
      <c r="N310">
        <v>100627.56</v>
      </c>
      <c r="O310">
        <f t="shared" si="28"/>
        <v>0.2</v>
      </c>
      <c r="P310">
        <f t="shared" si="29"/>
        <v>3.4</v>
      </c>
      <c r="Q310">
        <f t="shared" si="30"/>
        <v>1</v>
      </c>
      <c r="R310">
        <f t="shared" si="31"/>
        <v>0</v>
      </c>
      <c r="S310">
        <f t="shared" si="32"/>
        <v>0</v>
      </c>
      <c r="T310" s="9">
        <f t="shared" si="33"/>
        <v>647910.20555034187</v>
      </c>
      <c r="U310" s="9">
        <f t="shared" si="34"/>
        <v>76305.864449658082</v>
      </c>
    </row>
    <row r="311" spans="1:21">
      <c r="A311" t="s">
        <v>51</v>
      </c>
      <c r="B311" s="2">
        <v>45689</v>
      </c>
      <c r="C311" t="s">
        <v>27</v>
      </c>
      <c r="D311" t="s">
        <v>16</v>
      </c>
      <c r="E311">
        <v>57360.01</v>
      </c>
      <c r="F311">
        <v>8434</v>
      </c>
      <c r="G311">
        <v>0.151</v>
      </c>
      <c r="H311">
        <v>19</v>
      </c>
      <c r="I311">
        <v>84.1</v>
      </c>
      <c r="J311">
        <v>1.56</v>
      </c>
      <c r="K311">
        <v>0</v>
      </c>
      <c r="L311">
        <v>4.7</v>
      </c>
      <c r="M311">
        <v>820519.04</v>
      </c>
      <c r="N311">
        <v>99035.88</v>
      </c>
      <c r="O311">
        <f t="shared" si="28"/>
        <v>1.56</v>
      </c>
      <c r="P311">
        <f t="shared" si="29"/>
        <v>4.7</v>
      </c>
      <c r="Q311">
        <f t="shared" si="30"/>
        <v>0</v>
      </c>
      <c r="R311">
        <f t="shared" si="31"/>
        <v>0</v>
      </c>
      <c r="S311">
        <f t="shared" si="32"/>
        <v>1</v>
      </c>
      <c r="T311" s="9">
        <f t="shared" si="33"/>
        <v>743682.40158489579</v>
      </c>
      <c r="U311" s="9">
        <f t="shared" si="34"/>
        <v>76836.638415104244</v>
      </c>
    </row>
    <row r="312" spans="1:21">
      <c r="A312" t="s">
        <v>42</v>
      </c>
      <c r="B312" s="2">
        <v>45717</v>
      </c>
      <c r="C312" t="s">
        <v>27</v>
      </c>
      <c r="D312" t="s">
        <v>28</v>
      </c>
      <c r="E312">
        <v>72731.14</v>
      </c>
      <c r="F312">
        <v>4644</v>
      </c>
      <c r="G312">
        <v>8.4000000000000005E-2</v>
      </c>
      <c r="H312">
        <v>15</v>
      </c>
      <c r="I312">
        <v>87.1</v>
      </c>
      <c r="J312">
        <v>2.66</v>
      </c>
      <c r="K312">
        <v>0</v>
      </c>
      <c r="L312">
        <v>4.5999999999999996</v>
      </c>
      <c r="M312">
        <v>727241.86</v>
      </c>
      <c r="N312">
        <v>155810.29999999999</v>
      </c>
      <c r="O312">
        <f t="shared" si="28"/>
        <v>2.66</v>
      </c>
      <c r="P312">
        <f t="shared" si="29"/>
        <v>4.5999999999999996</v>
      </c>
      <c r="Q312">
        <f t="shared" si="30"/>
        <v>0</v>
      </c>
      <c r="R312">
        <f t="shared" si="31"/>
        <v>0</v>
      </c>
      <c r="S312">
        <f t="shared" si="32"/>
        <v>1</v>
      </c>
      <c r="T312" s="9">
        <f t="shared" si="33"/>
        <v>650176.71024962794</v>
      </c>
      <c r="U312" s="9">
        <f t="shared" si="34"/>
        <v>77065.149750372046</v>
      </c>
    </row>
    <row r="313" spans="1:21">
      <c r="A313" t="s">
        <v>90</v>
      </c>
      <c r="B313" s="2">
        <v>45748</v>
      </c>
      <c r="C313" t="s">
        <v>27</v>
      </c>
      <c r="D313" t="s">
        <v>18</v>
      </c>
      <c r="E313">
        <v>38297.58</v>
      </c>
      <c r="F313">
        <v>5893</v>
      </c>
      <c r="G313">
        <v>0.247</v>
      </c>
      <c r="H313">
        <v>18</v>
      </c>
      <c r="I313">
        <v>77.599999999999994</v>
      </c>
      <c r="J313">
        <v>2.86</v>
      </c>
      <c r="K313">
        <v>0</v>
      </c>
      <c r="L313">
        <v>3</v>
      </c>
      <c r="M313">
        <v>686737.87</v>
      </c>
      <c r="N313">
        <v>83839.67</v>
      </c>
      <c r="O313">
        <f t="shared" si="28"/>
        <v>2.86</v>
      </c>
      <c r="P313">
        <f t="shared" si="29"/>
        <v>3</v>
      </c>
      <c r="Q313">
        <f t="shared" si="30"/>
        <v>0</v>
      </c>
      <c r="R313">
        <f t="shared" si="31"/>
        <v>0</v>
      </c>
      <c r="S313">
        <f t="shared" si="32"/>
        <v>1</v>
      </c>
      <c r="T313" s="9">
        <f t="shared" si="33"/>
        <v>608283.5988731418</v>
      </c>
      <c r="U313" s="9">
        <f t="shared" si="34"/>
        <v>78454.271126858192</v>
      </c>
    </row>
    <row r="314" spans="1:21">
      <c r="A314" t="s">
        <v>94</v>
      </c>
      <c r="B314" s="2">
        <v>45717</v>
      </c>
      <c r="C314" t="s">
        <v>15</v>
      </c>
      <c r="D314" t="s">
        <v>16</v>
      </c>
      <c r="E314">
        <v>56737.3</v>
      </c>
      <c r="F314">
        <v>8300</v>
      </c>
      <c r="G314">
        <v>3.2000000000000001E-2</v>
      </c>
      <c r="H314">
        <v>21</v>
      </c>
      <c r="I314">
        <v>83.2</v>
      </c>
      <c r="J314">
        <v>3.44</v>
      </c>
      <c r="K314">
        <v>1</v>
      </c>
      <c r="L314">
        <v>4.3</v>
      </c>
      <c r="M314">
        <v>813316.71</v>
      </c>
      <c r="N314">
        <v>110077.42</v>
      </c>
      <c r="O314">
        <f t="shared" si="28"/>
        <v>3.44</v>
      </c>
      <c r="P314">
        <f t="shared" si="29"/>
        <v>4.3</v>
      </c>
      <c r="Q314">
        <f t="shared" si="30"/>
        <v>0</v>
      </c>
      <c r="R314">
        <f t="shared" si="31"/>
        <v>0</v>
      </c>
      <c r="S314">
        <f t="shared" si="32"/>
        <v>0</v>
      </c>
      <c r="T314" s="9">
        <f t="shared" si="33"/>
        <v>731735.86420595786</v>
      </c>
      <c r="U314" s="9">
        <f t="shared" si="34"/>
        <v>81580.845794042107</v>
      </c>
    </row>
    <row r="315" spans="1:21">
      <c r="A315" t="s">
        <v>78</v>
      </c>
      <c r="B315" s="2">
        <v>45748</v>
      </c>
      <c r="C315" t="s">
        <v>15</v>
      </c>
      <c r="D315" t="s">
        <v>28</v>
      </c>
      <c r="E315">
        <v>39341.449999999997</v>
      </c>
      <c r="F315">
        <v>1375</v>
      </c>
      <c r="G315">
        <v>9.2999999999999999E-2</v>
      </c>
      <c r="H315">
        <v>5</v>
      </c>
      <c r="I315">
        <v>95</v>
      </c>
      <c r="J315">
        <v>5.32</v>
      </c>
      <c r="K315">
        <v>0</v>
      </c>
      <c r="M315">
        <v>529598.93999999994</v>
      </c>
      <c r="N315">
        <v>84334.33</v>
      </c>
      <c r="O315">
        <f t="shared" si="28"/>
        <v>5.32</v>
      </c>
      <c r="P315">
        <f t="shared" si="29"/>
        <v>0</v>
      </c>
      <c r="Q315">
        <f t="shared" si="30"/>
        <v>0</v>
      </c>
      <c r="R315">
        <f t="shared" si="31"/>
        <v>0</v>
      </c>
      <c r="S315">
        <f t="shared" si="32"/>
        <v>0</v>
      </c>
      <c r="T315" s="9">
        <f t="shared" si="33"/>
        <v>447252.14385983965</v>
      </c>
      <c r="U315" s="9">
        <f t="shared" si="34"/>
        <v>82346.796140160295</v>
      </c>
    </row>
    <row r="316" spans="1:21">
      <c r="A316" t="s">
        <v>48</v>
      </c>
      <c r="B316" s="2">
        <v>45717</v>
      </c>
      <c r="C316" t="s">
        <v>27</v>
      </c>
      <c r="D316" t="s">
        <v>18</v>
      </c>
      <c r="E316">
        <v>64294.23</v>
      </c>
      <c r="F316">
        <v>6992</v>
      </c>
      <c r="G316">
        <v>0.13300000000000001</v>
      </c>
      <c r="H316">
        <v>14</v>
      </c>
      <c r="I316">
        <v>94.1</v>
      </c>
      <c r="J316">
        <v>0.25</v>
      </c>
      <c r="K316">
        <v>0</v>
      </c>
      <c r="L316">
        <v>3</v>
      </c>
      <c r="M316">
        <v>795153.84</v>
      </c>
      <c r="N316">
        <v>143194.21</v>
      </c>
      <c r="O316">
        <f t="shared" si="28"/>
        <v>0.25</v>
      </c>
      <c r="P316">
        <f t="shared" si="29"/>
        <v>3</v>
      </c>
      <c r="Q316">
        <f t="shared" si="30"/>
        <v>0</v>
      </c>
      <c r="R316">
        <f t="shared" si="31"/>
        <v>0</v>
      </c>
      <c r="S316">
        <f t="shared" si="32"/>
        <v>1</v>
      </c>
      <c r="T316" s="9">
        <f t="shared" si="33"/>
        <v>709279.45500960865</v>
      </c>
      <c r="U316" s="9">
        <f t="shared" si="34"/>
        <v>85874.384990391321</v>
      </c>
    </row>
    <row r="317" spans="1:21">
      <c r="A317" t="s">
        <v>96</v>
      </c>
      <c r="B317" s="2">
        <v>45689</v>
      </c>
      <c r="C317" t="s">
        <v>27</v>
      </c>
      <c r="D317" t="s">
        <v>18</v>
      </c>
      <c r="E317">
        <v>55477.61</v>
      </c>
      <c r="F317">
        <v>5903</v>
      </c>
      <c r="G317">
        <v>0.10199999999999999</v>
      </c>
      <c r="H317">
        <v>14</v>
      </c>
      <c r="I317">
        <v>96.2</v>
      </c>
      <c r="J317">
        <v>1.41</v>
      </c>
      <c r="K317">
        <v>0</v>
      </c>
      <c r="L317">
        <v>3.3</v>
      </c>
      <c r="M317">
        <v>763162.45</v>
      </c>
      <c r="N317">
        <v>162524.04999999999</v>
      </c>
      <c r="O317">
        <f t="shared" si="28"/>
        <v>1.41</v>
      </c>
      <c r="P317">
        <f t="shared" si="29"/>
        <v>3.3</v>
      </c>
      <c r="Q317">
        <f t="shared" si="30"/>
        <v>0</v>
      </c>
      <c r="R317">
        <f t="shared" si="31"/>
        <v>0</v>
      </c>
      <c r="S317">
        <f t="shared" si="32"/>
        <v>1</v>
      </c>
      <c r="T317" s="9">
        <f t="shared" si="33"/>
        <v>676665.21780358953</v>
      </c>
      <c r="U317" s="9">
        <f t="shared" si="34"/>
        <v>86497.232196410419</v>
      </c>
    </row>
    <row r="318" spans="1:21">
      <c r="A318" t="s">
        <v>85</v>
      </c>
      <c r="B318" s="2">
        <v>45689</v>
      </c>
      <c r="C318" t="s">
        <v>24</v>
      </c>
      <c r="D318" t="s">
        <v>21</v>
      </c>
      <c r="E318">
        <v>63582.11</v>
      </c>
      <c r="F318">
        <v>6856</v>
      </c>
      <c r="G318">
        <v>7.3999999999999996E-2</v>
      </c>
      <c r="H318">
        <v>17</v>
      </c>
      <c r="I318">
        <v>89.5</v>
      </c>
      <c r="J318">
        <v>5.48</v>
      </c>
      <c r="K318">
        <v>0</v>
      </c>
      <c r="L318">
        <v>3.2</v>
      </c>
      <c r="M318">
        <v>799046.94</v>
      </c>
      <c r="N318">
        <v>144553.64000000001</v>
      </c>
      <c r="O318">
        <f t="shared" si="28"/>
        <v>5.48</v>
      </c>
      <c r="P318">
        <f t="shared" si="29"/>
        <v>3.2</v>
      </c>
      <c r="Q318">
        <f t="shared" si="30"/>
        <v>0</v>
      </c>
      <c r="R318">
        <f t="shared" si="31"/>
        <v>1</v>
      </c>
      <c r="S318">
        <f t="shared" si="32"/>
        <v>0</v>
      </c>
      <c r="T318" s="9">
        <f t="shared" si="33"/>
        <v>705948.52165438631</v>
      </c>
      <c r="U318" s="9">
        <f t="shared" si="34"/>
        <v>93098.418345613638</v>
      </c>
    </row>
    <row r="319" spans="1:21">
      <c r="A319" t="s">
        <v>47</v>
      </c>
      <c r="B319" s="2">
        <v>45748</v>
      </c>
      <c r="C319" t="s">
        <v>15</v>
      </c>
      <c r="D319" t="s">
        <v>28</v>
      </c>
      <c r="E319">
        <v>32266.639999999999</v>
      </c>
      <c r="F319">
        <v>2414</v>
      </c>
      <c r="G319">
        <v>0.08</v>
      </c>
      <c r="H319">
        <v>7</v>
      </c>
      <c r="I319">
        <v>92.1</v>
      </c>
      <c r="J319">
        <v>1.48</v>
      </c>
      <c r="K319">
        <v>0</v>
      </c>
      <c r="L319">
        <v>5</v>
      </c>
      <c r="M319">
        <v>625514.04</v>
      </c>
      <c r="N319">
        <v>120685.08</v>
      </c>
      <c r="O319">
        <f t="shared" si="28"/>
        <v>1.48</v>
      </c>
      <c r="P319">
        <f t="shared" si="29"/>
        <v>5</v>
      </c>
      <c r="Q319">
        <f t="shared" si="30"/>
        <v>0</v>
      </c>
      <c r="R319">
        <f t="shared" si="31"/>
        <v>0</v>
      </c>
      <c r="S319">
        <f t="shared" si="32"/>
        <v>0</v>
      </c>
      <c r="T319" s="9">
        <f t="shared" si="33"/>
        <v>517329.61882433103</v>
      </c>
      <c r="U319" s="9">
        <f t="shared" si="34"/>
        <v>108184.42117566901</v>
      </c>
    </row>
    <row r="320" spans="1:21">
      <c r="A320" t="s">
        <v>72</v>
      </c>
      <c r="B320" s="2">
        <v>45689</v>
      </c>
      <c r="C320" t="s">
        <v>15</v>
      </c>
      <c r="D320" t="s">
        <v>21</v>
      </c>
      <c r="E320">
        <v>78111.97</v>
      </c>
      <c r="F320">
        <v>6389</v>
      </c>
      <c r="G320">
        <v>0.15</v>
      </c>
      <c r="H320">
        <v>13</v>
      </c>
      <c r="I320">
        <v>83.9</v>
      </c>
      <c r="J320">
        <v>3.05</v>
      </c>
      <c r="K320">
        <v>0</v>
      </c>
      <c r="L320">
        <v>4.8</v>
      </c>
      <c r="M320">
        <v>787715.51</v>
      </c>
      <c r="N320">
        <v>128969.62</v>
      </c>
      <c r="O320">
        <f t="shared" si="28"/>
        <v>3.05</v>
      </c>
      <c r="P320">
        <f t="shared" si="29"/>
        <v>4.8</v>
      </c>
      <c r="Q320">
        <f t="shared" si="30"/>
        <v>0</v>
      </c>
      <c r="R320">
        <f t="shared" si="31"/>
        <v>0</v>
      </c>
      <c r="S320">
        <f t="shared" si="32"/>
        <v>0</v>
      </c>
      <c r="T320" s="9">
        <f t="shared" si="33"/>
        <v>675843.16900784452</v>
      </c>
      <c r="U320" s="9">
        <f t="shared" si="34"/>
        <v>111872.34099215548</v>
      </c>
    </row>
    <row r="321" spans="1:21">
      <c r="A321" t="s">
        <v>49</v>
      </c>
      <c r="B321" s="2">
        <v>45748</v>
      </c>
      <c r="C321" t="s">
        <v>15</v>
      </c>
      <c r="D321" t="s">
        <v>28</v>
      </c>
      <c r="E321">
        <v>52758.01</v>
      </c>
      <c r="F321">
        <v>4063</v>
      </c>
      <c r="G321">
        <v>5.7000000000000002E-2</v>
      </c>
      <c r="H321">
        <v>12</v>
      </c>
      <c r="I321">
        <v>91.7</v>
      </c>
      <c r="J321">
        <v>0.92</v>
      </c>
      <c r="K321">
        <v>0</v>
      </c>
      <c r="L321">
        <v>3.5</v>
      </c>
      <c r="M321">
        <v>713611.16</v>
      </c>
      <c r="N321">
        <v>129717.18</v>
      </c>
      <c r="O321">
        <f t="shared" si="28"/>
        <v>0.92</v>
      </c>
      <c r="P321">
        <f t="shared" si="29"/>
        <v>3.5</v>
      </c>
      <c r="Q321">
        <f t="shared" si="30"/>
        <v>0</v>
      </c>
      <c r="R321">
        <f t="shared" si="31"/>
        <v>0</v>
      </c>
      <c r="S321">
        <f t="shared" si="32"/>
        <v>0</v>
      </c>
      <c r="T321" s="9">
        <f t="shared" si="33"/>
        <v>585441.6600671038</v>
      </c>
      <c r="U321" s="9">
        <f t="shared" si="34"/>
        <v>128169.49993289623</v>
      </c>
    </row>
  </sheetData>
  <sortState xmlns:xlrd2="http://schemas.microsoft.com/office/spreadsheetml/2017/richdata2" ref="A2:U322">
    <sortCondition ref="U2:U32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4AFC8-2649-420E-98DC-816504D4C5C3}">
  <dimension ref="A2:N8"/>
  <sheetViews>
    <sheetView workbookViewId="0">
      <selection activeCell="G3" sqref="G3"/>
    </sheetView>
  </sheetViews>
  <sheetFormatPr defaultRowHeight="14.5"/>
  <cols>
    <col min="1" max="1" width="8.7265625" customWidth="1"/>
    <col min="2" max="2" width="10.36328125" customWidth="1"/>
    <col min="3" max="3" width="9" customWidth="1"/>
    <col min="4" max="5" width="11.6328125" customWidth="1"/>
    <col min="6" max="6" width="18.7265625" customWidth="1"/>
    <col min="10" max="10" width="10.54296875" customWidth="1"/>
    <col min="11" max="11" width="13.7265625" customWidth="1"/>
    <col min="12" max="12" width="13.6328125" customWidth="1"/>
    <col min="13" max="13" width="15.7265625" customWidth="1"/>
    <col min="14" max="14" width="14.26953125" customWidth="1"/>
  </cols>
  <sheetData>
    <row r="2" spans="1:14" ht="18.5">
      <c r="A2" s="15" t="s">
        <v>151</v>
      </c>
      <c r="I2" s="15" t="s">
        <v>158</v>
      </c>
    </row>
    <row r="3" spans="1:14" ht="29">
      <c r="A3" s="11" t="s">
        <v>139</v>
      </c>
      <c r="B3" s="11" t="s">
        <v>140</v>
      </c>
      <c r="C3" s="13" t="s">
        <v>141</v>
      </c>
      <c r="D3" s="13" t="s">
        <v>142</v>
      </c>
      <c r="E3" s="13" t="s">
        <v>114</v>
      </c>
      <c r="F3" s="11" t="s">
        <v>143</v>
      </c>
      <c r="I3" s="11" t="s">
        <v>139</v>
      </c>
      <c r="J3" s="11" t="s">
        <v>140</v>
      </c>
      <c r="K3" s="13" t="s">
        <v>141</v>
      </c>
      <c r="L3" s="13" t="s">
        <v>142</v>
      </c>
      <c r="M3" s="13" t="s">
        <v>114</v>
      </c>
      <c r="N3" s="11" t="s">
        <v>143</v>
      </c>
    </row>
    <row r="4" spans="1:14" ht="43.5">
      <c r="A4" s="14">
        <v>1</v>
      </c>
      <c r="B4" s="14" t="s">
        <v>46</v>
      </c>
      <c r="C4" s="12">
        <v>945320.5</v>
      </c>
      <c r="D4" s="12">
        <v>817151</v>
      </c>
      <c r="E4" s="12">
        <v>128169.5</v>
      </c>
      <c r="F4" s="14" t="s">
        <v>144</v>
      </c>
      <c r="I4" s="14">
        <v>1</v>
      </c>
      <c r="J4" s="14" t="s">
        <v>33</v>
      </c>
      <c r="K4" s="12">
        <v>602264.09</v>
      </c>
      <c r="L4" s="12">
        <v>764999.99</v>
      </c>
      <c r="M4" s="12">
        <v>-162735.91</v>
      </c>
      <c r="N4" s="14" t="s">
        <v>152</v>
      </c>
    </row>
    <row r="5" spans="1:14" ht="43.5">
      <c r="A5" s="14">
        <v>2</v>
      </c>
      <c r="B5" s="14" t="s">
        <v>69</v>
      </c>
      <c r="C5" s="12">
        <v>901542.34</v>
      </c>
      <c r="D5" s="12">
        <v>789670</v>
      </c>
      <c r="E5" s="12">
        <v>111872.34</v>
      </c>
      <c r="F5" s="14" t="s">
        <v>145</v>
      </c>
      <c r="I5" s="14">
        <v>2</v>
      </c>
      <c r="J5" s="14" t="s">
        <v>54</v>
      </c>
      <c r="K5" s="12">
        <v>558179.28</v>
      </c>
      <c r="L5" s="12">
        <v>700000</v>
      </c>
      <c r="M5" s="12">
        <v>-141820.72</v>
      </c>
      <c r="N5" s="14" t="s">
        <v>153</v>
      </c>
    </row>
    <row r="6" spans="1:14" ht="43.5">
      <c r="A6" s="14">
        <v>3</v>
      </c>
      <c r="B6" s="14" t="s">
        <v>83</v>
      </c>
      <c r="C6" s="12">
        <v>876184.42</v>
      </c>
      <c r="D6" s="12">
        <v>768000</v>
      </c>
      <c r="E6" s="12">
        <v>108184.42</v>
      </c>
      <c r="F6" s="14" t="s">
        <v>146</v>
      </c>
      <c r="I6" s="14">
        <v>3</v>
      </c>
      <c r="J6" s="14" t="s">
        <v>77</v>
      </c>
      <c r="K6" s="12">
        <v>577060.85</v>
      </c>
      <c r="L6" s="12">
        <v>700000</v>
      </c>
      <c r="M6" s="12">
        <v>-122939.15</v>
      </c>
      <c r="N6" s="14" t="s">
        <v>154</v>
      </c>
    </row>
    <row r="7" spans="1:14" ht="43.5">
      <c r="A7" s="14">
        <v>4</v>
      </c>
      <c r="B7" s="14" t="s">
        <v>147</v>
      </c>
      <c r="C7" s="12">
        <v>843098.42</v>
      </c>
      <c r="D7" s="12">
        <v>750000</v>
      </c>
      <c r="E7" s="12">
        <v>93098.42</v>
      </c>
      <c r="F7" s="14" t="s">
        <v>148</v>
      </c>
      <c r="I7" s="14">
        <v>4</v>
      </c>
      <c r="J7" s="14" t="s">
        <v>95</v>
      </c>
      <c r="K7" s="12">
        <v>584234.67000000004</v>
      </c>
      <c r="L7" s="12">
        <v>699999.99</v>
      </c>
      <c r="M7" s="12">
        <v>-115765.33</v>
      </c>
      <c r="N7" s="14" t="s">
        <v>155</v>
      </c>
    </row>
    <row r="8" spans="1:14" ht="43.5">
      <c r="A8" s="14">
        <v>5</v>
      </c>
      <c r="B8" s="14" t="s">
        <v>149</v>
      </c>
      <c r="C8" s="12">
        <v>806497.23</v>
      </c>
      <c r="D8" s="12">
        <v>720000</v>
      </c>
      <c r="E8" s="12">
        <v>86497.23</v>
      </c>
      <c r="F8" s="14" t="s">
        <v>150</v>
      </c>
      <c r="I8" s="14">
        <v>5</v>
      </c>
      <c r="J8" s="14" t="s">
        <v>156</v>
      </c>
      <c r="K8" s="12">
        <v>612558.02</v>
      </c>
      <c r="L8" s="12">
        <v>725000</v>
      </c>
      <c r="M8" s="12">
        <v>-112441.98</v>
      </c>
      <c r="N8" s="14" t="s">
        <v>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FCD87-0956-486D-AE69-15EA5A0D8E79}">
  <dimension ref="A1:H19"/>
  <sheetViews>
    <sheetView zoomScale="85" zoomScaleNormal="85" workbookViewId="0">
      <selection activeCell="H18" sqref="H18"/>
    </sheetView>
  </sheetViews>
  <sheetFormatPr defaultRowHeight="14.5"/>
  <cols>
    <col min="1" max="1" width="18.54296875" customWidth="1"/>
    <col min="2" max="2" width="28.08984375" customWidth="1"/>
    <col min="3" max="3" width="12" customWidth="1"/>
    <col min="4" max="4" width="12.6328125" customWidth="1"/>
    <col min="5" max="5" width="12.36328125" customWidth="1"/>
    <col min="6" max="6" width="14.1796875" customWidth="1"/>
    <col min="7" max="7" width="14.81640625" customWidth="1"/>
    <col min="8" max="8" width="13.36328125" customWidth="1"/>
  </cols>
  <sheetData>
    <row r="1" spans="1:8" s="17" customFormat="1">
      <c r="A1" s="17" t="s">
        <v>159</v>
      </c>
      <c r="B1" s="17" t="s">
        <v>160</v>
      </c>
      <c r="C1" s="17" t="s">
        <v>161</v>
      </c>
      <c r="D1" s="17" t="s">
        <v>108</v>
      </c>
      <c r="E1" s="17" t="s">
        <v>162</v>
      </c>
      <c r="F1" s="17" t="s">
        <v>163</v>
      </c>
      <c r="G1" s="17" t="s">
        <v>164</v>
      </c>
      <c r="H1" s="17" t="s">
        <v>165</v>
      </c>
    </row>
    <row r="2" spans="1:8">
      <c r="A2" t="s">
        <v>166</v>
      </c>
      <c r="B2" t="s">
        <v>12</v>
      </c>
      <c r="C2" t="s">
        <v>5</v>
      </c>
      <c r="D2">
        <v>0.73629999999999995</v>
      </c>
      <c r="E2" t="s">
        <v>167</v>
      </c>
      <c r="F2" t="s">
        <v>168</v>
      </c>
      <c r="G2" t="s">
        <v>169</v>
      </c>
      <c r="H2" t="s">
        <v>170</v>
      </c>
    </row>
    <row r="3" spans="1:8">
      <c r="A3" s="16" t="s">
        <v>171</v>
      </c>
      <c r="B3" t="s">
        <v>12</v>
      </c>
      <c r="C3" t="s">
        <v>4</v>
      </c>
      <c r="D3">
        <v>0.16719999999999999</v>
      </c>
      <c r="E3" t="s">
        <v>172</v>
      </c>
      <c r="F3" t="s">
        <v>168</v>
      </c>
      <c r="G3" t="s">
        <v>173</v>
      </c>
      <c r="H3" t="s">
        <v>174</v>
      </c>
    </row>
    <row r="4" spans="1:8">
      <c r="A4" t="s">
        <v>175</v>
      </c>
      <c r="B4" t="s">
        <v>12</v>
      </c>
      <c r="C4" t="s">
        <v>176</v>
      </c>
      <c r="D4">
        <v>0.82289999999999996</v>
      </c>
      <c r="E4" t="s">
        <v>177</v>
      </c>
      <c r="F4" t="s">
        <v>178</v>
      </c>
      <c r="G4" t="s">
        <v>179</v>
      </c>
      <c r="H4" t="s">
        <v>180</v>
      </c>
    </row>
    <row r="7" spans="1:8" s="17" customFormat="1">
      <c r="A7" s="17" t="s">
        <v>181</v>
      </c>
      <c r="B7" s="17" t="s">
        <v>182</v>
      </c>
    </row>
    <row r="8" spans="1:8">
      <c r="A8" t="s">
        <v>183</v>
      </c>
      <c r="B8" t="s">
        <v>175</v>
      </c>
    </row>
    <row r="9" spans="1:8">
      <c r="A9" t="s">
        <v>184</v>
      </c>
      <c r="B9" t="s">
        <v>167</v>
      </c>
    </row>
    <row r="10" spans="1:8">
      <c r="A10" t="s">
        <v>185</v>
      </c>
      <c r="B10" t="s">
        <v>186</v>
      </c>
    </row>
    <row r="11" spans="1:8">
      <c r="A11" t="s">
        <v>163</v>
      </c>
      <c r="B11" t="s">
        <v>178</v>
      </c>
    </row>
    <row r="12" spans="1:8">
      <c r="A12" t="s">
        <v>187</v>
      </c>
      <c r="B12" t="s">
        <v>188</v>
      </c>
    </row>
    <row r="15" spans="1:8" s="17" customFormat="1">
      <c r="A15" s="17" t="s">
        <v>130</v>
      </c>
      <c r="B15" s="17" t="s">
        <v>189</v>
      </c>
    </row>
    <row r="16" spans="1:8">
      <c r="A16" t="s">
        <v>190</v>
      </c>
      <c r="B16" t="s">
        <v>175</v>
      </c>
    </row>
    <row r="17" spans="1:2">
      <c r="A17" t="s">
        <v>191</v>
      </c>
      <c r="B17" t="s">
        <v>192</v>
      </c>
    </row>
    <row r="18" spans="1:2">
      <c r="A18" t="s">
        <v>193</v>
      </c>
      <c r="B18" t="s">
        <v>194</v>
      </c>
    </row>
    <row r="19" spans="1:2">
      <c r="A19" t="s">
        <v>195</v>
      </c>
      <c r="B19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Original_Data</vt:lpstr>
      <vt:lpstr>Cleaned_Data</vt:lpstr>
      <vt:lpstr>Dummy_Variables</vt:lpstr>
      <vt:lpstr>Simple_Regression_Marketing</vt:lpstr>
      <vt:lpstr>Simple_Regression_Footfall</vt:lpstr>
      <vt:lpstr>Multiple_Regression</vt:lpstr>
      <vt:lpstr>Predictions_Residuals</vt:lpstr>
      <vt:lpstr>Residual_analysis</vt:lpstr>
      <vt:lpstr>Model_Comparison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haswanth dadi</dc:creator>
  <cp:lastModifiedBy>haswanth dadi</cp:lastModifiedBy>
  <dcterms:created xsi:type="dcterms:W3CDTF">2026-06-25T16:35:38Z</dcterms:created>
  <dcterms:modified xsi:type="dcterms:W3CDTF">2026-06-27T15:09:55Z</dcterms:modified>
</cp:coreProperties>
</file>